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nsement DPS" sheetId="1" r:id="rId5"/>
    <sheet state="visible" name="Analyse" sheetId="2" r:id="rId6"/>
  </sheets>
  <definedNames>
    <definedName hidden="1" localSheetId="0" name="_xlnm._FilterDatabase">'Recensement DPS'!$A$3:$M$123</definedName>
  </definedNames>
  <calcPr/>
</workbook>
</file>

<file path=xl/sharedStrings.xml><?xml version="1.0" encoding="utf-8"?>
<sst xmlns="http://schemas.openxmlformats.org/spreadsheetml/2006/main" count="95" uniqueCount="70">
  <si>
    <t>RECENSEMENT DES DPS</t>
  </si>
  <si>
    <t>ANALYSE AUTOMATIQUE</t>
  </si>
  <si>
    <t>Choisissez le nombre de DPS (0 à 5), puis écrivez-les dans la cellule voisine : Elaine P9 / Clotho P7</t>
  </si>
  <si>
    <t>Sélectionnez un élément pour classer automatiquement tous les DPS selon leur potentiel.</t>
  </si>
  <si>
    <t>Joueur</t>
  </si>
  <si>
    <t>Élément</t>
  </si>
  <si>
    <t>🔥 Feu
Nb DPS</t>
  </si>
  <si>
    <t>🔥 Feu
DPS + potentiel</t>
  </si>
  <si>
    <t>❄️ Glace
Nb DPS</t>
  </si>
  <si>
    <t>❄️ Glace
DPS + potentiel</t>
  </si>
  <si>
    <t>🌪️ Vent
Nb DPS</t>
  </si>
  <si>
    <t>🌪️ Vent
DPS + potentiel</t>
  </si>
  <si>
    <t>🌱 Terre
Nb DPS</t>
  </si>
  <si>
    <t>🌱 Terre
DPS + potentiel</t>
  </si>
  <si>
    <t>✨ Lumière
Nb DPS</t>
  </si>
  <si>
    <t>✨ Lumière
DPS + potentiel</t>
  </si>
  <si>
    <t>🌑 Ténèbres
Nb DPS</t>
  </si>
  <si>
    <t>🌑 Ténèbres
DPS + potentiel</t>
  </si>
  <si>
    <t>⚡ Foudre
Nb DPS</t>
  </si>
  <si>
    <t>⚡ Foudre
DPS + potentiel</t>
  </si>
  <si>
    <t>Akaaarix</t>
  </si>
  <si>
    <t>Joueurs couverts</t>
  </si>
  <si>
    <t>DPS recensés</t>
  </si>
  <si>
    <t>Éléments couverts</t>
  </si>
  <si>
    <t>Total DPS</t>
  </si>
  <si>
    <t>Feu</t>
  </si>
  <si>
    <t>Glace</t>
  </si>
  <si>
    <t>Vent</t>
  </si>
  <si>
    <t>Terre</t>
  </si>
  <si>
    <t>Lumière</t>
  </si>
  <si>
    <t>Ténèbres</t>
  </si>
  <si>
    <t>Foudre</t>
  </si>
  <si>
    <t>Escanor P8</t>
  </si>
  <si>
    <t>🔥 Feu</t>
  </si>
  <si>
    <t>Merlin P10</t>
  </si>
  <si>
    <t>Elaine P6 / Clotho P4</t>
  </si>
  <si>
    <t>Diane P5</t>
  </si>
  <si>
    <t>Escanor P8 / King P7</t>
  </si>
  <si>
    <t>Meliodas P8</t>
  </si>
  <si>
    <t>Aion</t>
  </si>
  <si>
    <t>AiRoX7</t>
  </si>
  <si>
    <t>Altor</t>
  </si>
  <si>
    <t>Anto53</t>
  </si>
  <si>
    <t>BarracudaGN</t>
  </si>
  <si>
    <t>Behemoth</t>
  </si>
  <si>
    <t>Casté</t>
  </si>
  <si>
    <t>Eyael</t>
  </si>
  <si>
    <t>Fonzey</t>
  </si>
  <si>
    <t>Fruit11A</t>
  </si>
  <si>
    <t>Godgift</t>
  </si>
  <si>
    <t>iKeaght</t>
  </si>
  <si>
    <t>Jinwoo</t>
  </si>
  <si>
    <t>Kirisaka</t>
  </si>
  <si>
    <t>MDK95</t>
  </si>
  <si>
    <t>Mumu</t>
  </si>
  <si>
    <t>Smiiters</t>
  </si>
  <si>
    <t>Sucemonkbo974</t>
  </si>
  <si>
    <t>❄️ Glace</t>
  </si>
  <si>
    <t>Syval</t>
  </si>
  <si>
    <t>TheFue</t>
  </si>
  <si>
    <t>🌪️ Vent</t>
  </si>
  <si>
    <t>🌱 Terre</t>
  </si>
  <si>
    <t>✨ Lumière</t>
  </si>
  <si>
    <t>🌑 Ténèbres</t>
  </si>
  <si>
    <t>⚡ Foudre</t>
  </si>
  <si>
    <t>CLASSEMENT PAR POTENTIEL</t>
  </si>
  <si>
    <t>Élément :</t>
  </si>
  <si>
    <t>Rang</t>
  </si>
  <si>
    <t>DPS</t>
  </si>
  <si>
    <t>Potentiel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</si>
</sst>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rlito"/>
      <scheme val="minor"/>
    </font>
    <font>
      <b/>
      <sz val="20.0"/>
      <color rgb="FFE3C86A"/>
      <name val="Aptos"/>
    </font>
    <font>
      <sz val="10.0"/>
      <color rgb="FFF7EFDF"/>
      <name val="Aptos"/>
    </font>
    <font>
      <b/>
      <sz val="9.0"/>
      <color rgb="FFF7EFDF"/>
      <name val="Aptos"/>
    </font>
    <font>
      <b/>
      <sz val="10.0"/>
      <color rgb="FFF7EFDF"/>
      <name val="Aptos"/>
    </font>
    <font>
      <b/>
      <sz val="10.0"/>
      <color rgb="FF191919"/>
      <name val="Aptos"/>
    </font>
    <font>
      <sz val="10.0"/>
      <color rgb="FF191919"/>
      <name val="Arial"/>
    </font>
    <font>
      <sz val="10.0"/>
      <color rgb="FF191919"/>
      <name val="Aptos"/>
    </font>
    <font>
      <b/>
      <sz val="9.0"/>
      <color rgb="FF191919"/>
      <name val="Aptos"/>
    </font>
    <font>
      <sz val="9.0"/>
      <color rgb="FF191919"/>
      <name val="Aptos"/>
    </font>
    <font>
      <b/>
      <sz val="12.0"/>
      <color rgb="FFE3C86A"/>
      <name val="Aptos"/>
    </font>
    <font>
      <b/>
      <sz val="10.0"/>
      <color rgb="FF191919"/>
      <name val="Arial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41414"/>
        <bgColor rgb="FF141414"/>
      </patternFill>
    </fill>
    <fill>
      <patternFill patternType="solid">
        <fgColor rgb="FF2F2B22"/>
        <bgColor rgb="FF2F2B22"/>
      </patternFill>
    </fill>
    <fill>
      <patternFill patternType="solid">
        <fgColor rgb="FFFFF6D7"/>
        <bgColor rgb="FFFFF6D7"/>
      </patternFill>
    </fill>
    <fill>
      <patternFill patternType="solid">
        <fgColor rgb="FFF3EBD6"/>
        <bgColor rgb="FFF3EBD6"/>
      </patternFill>
    </fill>
  </fills>
  <borders count="2">
    <border/>
    <border>
      <left style="thin">
        <color rgb="FFC8B886"/>
      </left>
      <right style="thin">
        <color rgb="FFC8B886"/>
      </right>
      <top style="thin">
        <color rgb="FFC8B886"/>
      </top>
      <bottom style="thin">
        <color rgb="FFC8B886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left" shrinkToFit="0" vertical="center" wrapText="1"/>
    </xf>
    <xf borderId="1" fillId="5" fontId="8" numFmtId="0" xfId="0" applyAlignment="1" applyBorder="1" applyFont="1">
      <alignment horizontal="left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left" shrinkToFit="0" vertical="center" wrapText="1"/>
    </xf>
    <xf borderId="1" fillId="4" fontId="8" numFmtId="0" xfId="0" applyAlignment="1" applyBorder="1" applyFont="1">
      <alignment horizontal="left" readingOrder="0" shrinkToFit="0" vertical="center" wrapText="1"/>
    </xf>
    <xf borderId="0" fillId="2" fontId="10" numFmtId="0" xfId="0" applyAlignment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shrinkToFit="0" vertical="center" wrapText="1"/>
    </xf>
    <xf borderId="0" fillId="4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>
        <b/>
      </font>
      <fill>
        <patternFill patternType="solid">
          <fgColor rgb="FFD1EAC6"/>
          <bgColor rgb="FFD1EAC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5.75"/>
    <col customWidth="1" min="2" max="2" width="8.38"/>
    <col customWidth="1" min="3" max="3" width="20.13"/>
    <col customWidth="1" min="4" max="4" width="8.38"/>
    <col customWidth="1" min="5" max="5" width="20.13"/>
    <col customWidth="1" min="6" max="6" width="8.38"/>
    <col customWidth="1" min="7" max="7" width="20.13"/>
    <col customWidth="1" min="8" max="8" width="8.38"/>
    <col customWidth="1" min="9" max="9" width="20.13"/>
    <col customWidth="1" min="10" max="10" width="8.38"/>
    <col customWidth="1" min="11" max="11" width="20.13"/>
    <col customWidth="1" min="12" max="12" width="8.38"/>
    <col customWidth="1" min="13" max="13" width="20.13"/>
    <col customWidth="1" min="14" max="14" width="8.38"/>
    <col customWidth="1" min="15" max="15" width="20.13"/>
  </cols>
  <sheetData>
    <row r="1" ht="31.5" customHeight="1">
      <c r="A1" s="1" t="s">
        <v>0</v>
      </c>
    </row>
    <row r="2" ht="28.5" customHeight="1">
      <c r="A2" s="2" t="s">
        <v>2</v>
      </c>
    </row>
    <row r="3" ht="54.75" customHeight="1">
      <c r="A3" s="3" t="s">
        <v>4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</row>
    <row r="4" ht="25.5" customHeight="1">
      <c r="A4" s="5" t="s">
        <v>20</v>
      </c>
      <c r="B4" s="6">
        <v>1.0</v>
      </c>
      <c r="C4" s="7" t="s">
        <v>32</v>
      </c>
      <c r="D4" s="8">
        <v>1.0</v>
      </c>
      <c r="E4" s="9" t="s">
        <v>34</v>
      </c>
      <c r="F4" s="6">
        <v>2.0</v>
      </c>
      <c r="G4" s="7" t="s">
        <v>35</v>
      </c>
      <c r="H4" s="6">
        <v>1.0</v>
      </c>
      <c r="I4" s="7" t="s">
        <v>36</v>
      </c>
      <c r="J4" s="6">
        <v>2.0</v>
      </c>
      <c r="K4" s="7" t="s">
        <v>37</v>
      </c>
      <c r="L4" s="6">
        <v>1.0</v>
      </c>
      <c r="M4" s="7" t="s">
        <v>38</v>
      </c>
      <c r="N4" s="6">
        <v>1.0</v>
      </c>
      <c r="O4" s="7" t="s">
        <v>34</v>
      </c>
    </row>
    <row r="5" ht="25.5" customHeight="1">
      <c r="A5" s="10" t="s">
        <v>39</v>
      </c>
      <c r="B5" s="11"/>
      <c r="C5" s="13"/>
      <c r="D5" s="11"/>
      <c r="E5" s="13"/>
      <c r="F5" s="11"/>
      <c r="G5" s="13"/>
      <c r="H5" s="11"/>
      <c r="I5" s="13"/>
      <c r="J5" s="11"/>
      <c r="K5" s="13"/>
      <c r="L5" s="11"/>
      <c r="M5" s="13"/>
      <c r="N5" s="11"/>
      <c r="O5" s="13"/>
    </row>
    <row r="6" ht="25.5" customHeight="1">
      <c r="A6" s="5" t="s">
        <v>40</v>
      </c>
      <c r="B6" s="8"/>
      <c r="C6" s="9"/>
      <c r="D6" s="8"/>
      <c r="E6" s="9"/>
      <c r="F6" s="8"/>
      <c r="G6" s="9"/>
      <c r="H6" s="8"/>
      <c r="I6" s="9"/>
      <c r="J6" s="8"/>
      <c r="K6" s="9"/>
      <c r="L6" s="8"/>
      <c r="M6" s="9"/>
      <c r="N6" s="8"/>
      <c r="O6" s="9"/>
    </row>
    <row r="7" ht="25.5" customHeight="1">
      <c r="A7" s="10" t="s">
        <v>41</v>
      </c>
      <c r="B7" s="11"/>
      <c r="C7" s="13"/>
      <c r="D7" s="11"/>
      <c r="E7" s="13"/>
      <c r="F7" s="11"/>
      <c r="G7" s="13"/>
      <c r="H7" s="11"/>
      <c r="I7" s="13"/>
      <c r="J7" s="11"/>
      <c r="K7" s="13"/>
      <c r="L7" s="11"/>
      <c r="M7" s="13"/>
      <c r="N7" s="11"/>
      <c r="O7" s="13"/>
    </row>
    <row r="8" ht="25.5" customHeight="1">
      <c r="A8" s="5" t="s">
        <v>42</v>
      </c>
      <c r="B8" s="8"/>
      <c r="C8" s="9"/>
      <c r="D8" s="8"/>
      <c r="E8" s="9"/>
      <c r="F8" s="8"/>
      <c r="G8" s="9"/>
      <c r="H8" s="8"/>
      <c r="I8" s="9"/>
      <c r="J8" s="8"/>
      <c r="K8" s="9"/>
      <c r="L8" s="8"/>
      <c r="M8" s="9"/>
      <c r="N8" s="8"/>
      <c r="O8" s="9"/>
    </row>
    <row r="9" ht="25.5" customHeight="1">
      <c r="A9" s="10" t="s">
        <v>43</v>
      </c>
      <c r="B9" s="11"/>
      <c r="C9" s="13"/>
      <c r="D9" s="11"/>
      <c r="E9" s="13"/>
      <c r="F9" s="11"/>
      <c r="G9" s="13"/>
      <c r="H9" s="11"/>
      <c r="I9" s="13"/>
      <c r="J9" s="11"/>
      <c r="K9" s="13"/>
      <c r="L9" s="11"/>
      <c r="M9" s="13"/>
      <c r="N9" s="11"/>
      <c r="O9" s="13"/>
    </row>
    <row r="10" ht="25.5" customHeight="1">
      <c r="A10" s="5" t="s">
        <v>44</v>
      </c>
      <c r="B10" s="8"/>
      <c r="C10" s="9"/>
      <c r="D10" s="8"/>
      <c r="E10" s="9"/>
      <c r="F10" s="8"/>
      <c r="G10" s="9"/>
      <c r="H10" s="8"/>
      <c r="I10" s="9"/>
      <c r="J10" s="8"/>
      <c r="K10" s="9"/>
      <c r="L10" s="8"/>
      <c r="M10" s="9"/>
      <c r="N10" s="8"/>
      <c r="O10" s="9"/>
    </row>
    <row r="11" ht="25.5" customHeight="1">
      <c r="A11" s="10" t="s">
        <v>45</v>
      </c>
      <c r="B11" s="11"/>
      <c r="C11" s="13"/>
      <c r="D11" s="11"/>
      <c r="E11" s="13"/>
      <c r="F11" s="11"/>
      <c r="G11" s="13"/>
      <c r="H11" s="11"/>
      <c r="I11" s="13"/>
      <c r="J11" s="11"/>
      <c r="K11" s="13"/>
      <c r="L11" s="11"/>
      <c r="M11" s="13"/>
      <c r="N11" s="11"/>
      <c r="O11" s="13"/>
    </row>
    <row r="12" ht="25.5" customHeight="1">
      <c r="A12" s="5" t="s">
        <v>46</v>
      </c>
      <c r="B12" s="8"/>
      <c r="C12" s="9"/>
      <c r="D12" s="8"/>
      <c r="E12" s="9"/>
      <c r="F12" s="8"/>
      <c r="G12" s="9"/>
      <c r="H12" s="8"/>
      <c r="I12" s="9"/>
      <c r="J12" s="8"/>
      <c r="K12" s="9"/>
      <c r="L12" s="8"/>
      <c r="M12" s="9"/>
      <c r="N12" s="8"/>
      <c r="O12" s="9"/>
    </row>
    <row r="13" ht="25.5" customHeight="1">
      <c r="A13" s="10" t="s">
        <v>47</v>
      </c>
      <c r="B13" s="11"/>
      <c r="C13" s="13"/>
      <c r="D13" s="11"/>
      <c r="E13" s="13"/>
      <c r="F13" s="11"/>
      <c r="G13" s="13"/>
      <c r="H13" s="11"/>
      <c r="I13" s="13"/>
      <c r="J13" s="11"/>
      <c r="K13" s="13"/>
      <c r="L13" s="11"/>
      <c r="M13" s="13"/>
      <c r="N13" s="11"/>
      <c r="O13" s="13"/>
    </row>
    <row r="14" ht="25.5" customHeight="1">
      <c r="A14" s="5" t="s">
        <v>48</v>
      </c>
      <c r="B14" s="8"/>
      <c r="C14" s="9"/>
      <c r="D14" s="8"/>
      <c r="E14" s="9"/>
      <c r="F14" s="8"/>
      <c r="G14" s="9"/>
      <c r="H14" s="8"/>
      <c r="I14" s="9"/>
      <c r="J14" s="8"/>
      <c r="K14" s="9"/>
      <c r="L14" s="8"/>
      <c r="M14" s="9"/>
      <c r="N14" s="8"/>
      <c r="O14" s="9"/>
    </row>
    <row r="15" ht="25.5" customHeight="1">
      <c r="A15" s="10" t="s">
        <v>49</v>
      </c>
      <c r="B15" s="11"/>
      <c r="C15" s="13"/>
      <c r="D15" s="11"/>
      <c r="E15" s="13"/>
      <c r="F15" s="11"/>
      <c r="G15" s="13"/>
      <c r="H15" s="11"/>
      <c r="I15" s="13"/>
      <c r="J15" s="11"/>
      <c r="K15" s="13"/>
      <c r="L15" s="11"/>
      <c r="M15" s="13"/>
      <c r="N15" s="11"/>
      <c r="O15" s="13"/>
    </row>
    <row r="16" ht="25.5" customHeight="1">
      <c r="A16" s="5" t="s">
        <v>50</v>
      </c>
      <c r="B16" s="8"/>
      <c r="C16" s="9"/>
      <c r="D16" s="8"/>
      <c r="E16" s="9"/>
      <c r="F16" s="8"/>
      <c r="G16" s="9"/>
      <c r="H16" s="8"/>
      <c r="I16" s="9"/>
      <c r="J16" s="8"/>
      <c r="K16" s="9"/>
      <c r="L16" s="8"/>
      <c r="M16" s="9"/>
      <c r="N16" s="8"/>
      <c r="O16" s="9"/>
    </row>
    <row r="17" ht="25.5" customHeight="1">
      <c r="A17" s="10" t="s">
        <v>51</v>
      </c>
      <c r="B17" s="11"/>
      <c r="C17" s="13"/>
      <c r="D17" s="11"/>
      <c r="E17" s="13"/>
      <c r="F17" s="11"/>
      <c r="G17" s="13"/>
      <c r="H17" s="11"/>
      <c r="I17" s="13"/>
      <c r="J17" s="11"/>
      <c r="K17" s="13"/>
      <c r="L17" s="11"/>
      <c r="M17" s="13"/>
      <c r="N17" s="11"/>
      <c r="O17" s="13"/>
    </row>
    <row r="18" ht="25.5" customHeight="1">
      <c r="A18" s="5" t="s">
        <v>52</v>
      </c>
      <c r="B18" s="8"/>
      <c r="C18" s="9"/>
      <c r="D18" s="8"/>
      <c r="E18" s="9"/>
      <c r="F18" s="8"/>
      <c r="G18" s="9"/>
      <c r="H18" s="8"/>
      <c r="I18" s="9"/>
      <c r="J18" s="8"/>
      <c r="K18" s="9"/>
      <c r="L18" s="8"/>
      <c r="M18" s="9"/>
      <c r="N18" s="8"/>
      <c r="O18" s="9"/>
    </row>
    <row r="19" ht="25.5" customHeight="1">
      <c r="A19" s="10" t="s">
        <v>53</v>
      </c>
      <c r="B19" s="11"/>
      <c r="C19" s="13"/>
      <c r="D19" s="11"/>
      <c r="E19" s="13"/>
      <c r="F19" s="11"/>
      <c r="G19" s="13"/>
      <c r="H19" s="11"/>
      <c r="I19" s="13"/>
      <c r="J19" s="11"/>
      <c r="K19" s="13"/>
      <c r="L19" s="11"/>
      <c r="M19" s="13"/>
      <c r="N19" s="11"/>
      <c r="O19" s="13"/>
    </row>
    <row r="20" ht="25.5" customHeight="1">
      <c r="A20" s="5" t="s">
        <v>54</v>
      </c>
      <c r="B20" s="8"/>
      <c r="C20" s="9"/>
      <c r="D20" s="8"/>
      <c r="E20" s="9"/>
      <c r="F20" s="8"/>
      <c r="G20" s="9"/>
      <c r="H20" s="8"/>
      <c r="I20" s="9"/>
      <c r="J20" s="8"/>
      <c r="K20" s="9"/>
      <c r="L20" s="8"/>
      <c r="M20" s="9"/>
      <c r="N20" s="8"/>
      <c r="O20" s="9"/>
    </row>
    <row r="21" ht="25.5" customHeight="1">
      <c r="A21" s="10" t="s">
        <v>55</v>
      </c>
      <c r="B21" s="11"/>
      <c r="C21" s="13"/>
      <c r="D21" s="11"/>
      <c r="E21" s="13"/>
      <c r="F21" s="11"/>
      <c r="G21" s="13"/>
      <c r="H21" s="11"/>
      <c r="I21" s="13"/>
      <c r="J21" s="11"/>
      <c r="K21" s="13"/>
      <c r="L21" s="11"/>
      <c r="M21" s="13"/>
      <c r="N21" s="11"/>
      <c r="O21" s="13"/>
    </row>
    <row r="22" ht="25.5" customHeight="1">
      <c r="A22" s="5" t="s">
        <v>56</v>
      </c>
      <c r="B22" s="8"/>
      <c r="C22" s="9"/>
      <c r="D22" s="8"/>
      <c r="E22" s="9"/>
      <c r="F22" s="8"/>
      <c r="G22" s="9"/>
      <c r="H22" s="8"/>
      <c r="I22" s="9"/>
      <c r="J22" s="8"/>
      <c r="K22" s="9"/>
      <c r="L22" s="8"/>
      <c r="M22" s="9"/>
      <c r="N22" s="8"/>
      <c r="O22" s="9"/>
    </row>
    <row r="23" ht="25.5" customHeight="1">
      <c r="A23" s="10" t="s">
        <v>58</v>
      </c>
      <c r="B23" s="11"/>
      <c r="C23" s="13"/>
      <c r="D23" s="11"/>
      <c r="E23" s="13"/>
      <c r="F23" s="11"/>
      <c r="G23" s="13"/>
      <c r="H23" s="11"/>
      <c r="I23" s="13"/>
      <c r="J23" s="11"/>
      <c r="K23" s="13"/>
      <c r="L23" s="11"/>
      <c r="M23" s="13"/>
      <c r="N23" s="11"/>
      <c r="O23" s="13"/>
    </row>
    <row r="24" ht="25.5" customHeight="1">
      <c r="A24" s="5" t="s">
        <v>59</v>
      </c>
      <c r="B24" s="8"/>
      <c r="C24" s="9"/>
      <c r="D24" s="8"/>
      <c r="E24" s="9"/>
      <c r="F24" s="8"/>
      <c r="G24" s="9"/>
      <c r="H24" s="8"/>
      <c r="I24" s="9"/>
      <c r="J24" s="8"/>
      <c r="K24" s="9"/>
      <c r="L24" s="8"/>
      <c r="M24" s="9"/>
      <c r="N24" s="8"/>
      <c r="O24" s="9"/>
    </row>
    <row r="25" ht="21.75" customHeight="1"/>
    <row r="26" ht="21.75" customHeight="1"/>
    <row r="27" ht="21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M$123"/>
  <mergeCells count="3">
    <mergeCell ref="A125:M126"/>
    <mergeCell ref="A1:O1"/>
    <mergeCell ref="A2:O2"/>
  </mergeCells>
  <conditionalFormatting sqref="N4:N24">
    <cfRule type="cellIs" dxfId="0" priority="1" stopIfTrue="1" operator="greaterThan">
      <formula>0</formula>
    </cfRule>
  </conditionalFormatting>
  <conditionalFormatting sqref="L4:L24 N4:N24">
    <cfRule type="cellIs" dxfId="0" priority="2" stopIfTrue="1" operator="greaterThan">
      <formula>0</formula>
    </cfRule>
  </conditionalFormatting>
  <conditionalFormatting sqref="J4:J24">
    <cfRule type="cellIs" dxfId="0" priority="3" stopIfTrue="1" operator="greaterThan">
      <formula>0</formula>
    </cfRule>
  </conditionalFormatting>
  <conditionalFormatting sqref="H4:H24">
    <cfRule type="cellIs" dxfId="0" priority="4" stopIfTrue="1" operator="greaterThan">
      <formula>0</formula>
    </cfRule>
  </conditionalFormatting>
  <conditionalFormatting sqref="F4:F24">
    <cfRule type="cellIs" dxfId="0" priority="5" stopIfTrue="1" operator="greaterThan">
      <formula>0</formula>
    </cfRule>
  </conditionalFormatting>
  <conditionalFormatting sqref="D4:D24">
    <cfRule type="cellIs" dxfId="0" priority="6" stopIfTrue="1" operator="greaterThan">
      <formula>0</formula>
    </cfRule>
  </conditionalFormatting>
  <conditionalFormatting sqref="B4:B24">
    <cfRule type="cellIs" dxfId="0" priority="7" stopIfTrue="1" operator="greaterThan">
      <formula>0</formula>
    </cfRule>
  </conditionalFormatting>
  <dataValidations>
    <dataValidation type="list" allowBlank="1" showErrorMessage="1" sqref="B4:B24 D4:D24 F4:F24 H4:H24 J4:J24 L4:L24 N4:N24">
      <formula1>"0,1,2,3,4,5"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38"/>
    <col customWidth="1" min="2" max="2" width="15.75"/>
    <col customWidth="1" min="3" max="3" width="21.38"/>
    <col customWidth="1" min="4" max="4" width="10.75"/>
    <col customWidth="1" min="5" max="5" width="21.38"/>
    <col customWidth="1" min="6" max="6" width="15.75"/>
    <col customWidth="1" min="7" max="8" width="12.0"/>
    <col customWidth="1" min="9" max="15" width="19.5"/>
    <col customWidth="1" hidden="1" min="16" max="18" width="21.38"/>
  </cols>
  <sheetData>
    <row r="1" ht="31.5" customHeight="1">
      <c r="A1" s="1" t="s">
        <v>1</v>
      </c>
    </row>
    <row r="2" ht="27.0" customHeight="1">
      <c r="A2" s="2" t="s">
        <v>3</v>
      </c>
    </row>
    <row r="3" ht="21.75" customHeight="1">
      <c r="A3" s="4" t="s">
        <v>5</v>
      </c>
      <c r="B3" s="4" t="s">
        <v>21</v>
      </c>
      <c r="C3" s="4" t="s">
        <v>22</v>
      </c>
      <c r="F3" s="3" t="s">
        <v>4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</row>
    <row r="4" ht="21.75" customHeight="1">
      <c r="A4" s="5" t="s">
        <v>33</v>
      </c>
      <c r="B4" s="8">
        <f>COUNTIF('Recensement DPS'!B4:B24,"&gt;0")</f>
        <v>1</v>
      </c>
      <c r="C4" s="8">
        <f>SUM('Recensement DPS'!B4:B24)</f>
        <v>1</v>
      </c>
      <c r="F4" s="12" t="s">
        <v>20</v>
      </c>
      <c r="G4" s="14">
        <f t="array" ref="G4">COUNTIF({'Recensement DPS'!B4;'Recensement DPS'!D4;'Recensement DPS'!F4;'Recensement DPS'!H4;'Recensement DPS'!J4;'Recensement DPS'!L4;'Recensement DPS'!N4},"&gt;0")</f>
        <v>7</v>
      </c>
      <c r="H4" s="14">
        <f>SUM('Recensement DPS'!B4,'Recensement DPS'!D4,'Recensement DPS'!F4,'Recensement DPS'!H4,'Recensement DPS'!J4,'Recensement DPS'!L4,'Recensement DPS'!N4)</f>
        <v>9</v>
      </c>
      <c r="I4" s="15" t="str">
        <f>'Recensement DPS'!C4</f>
        <v>Escanor P8</v>
      </c>
      <c r="J4" s="15" t="str">
        <f>'Recensement DPS'!E4</f>
        <v>Merlin P10</v>
      </c>
      <c r="K4" s="15" t="str">
        <f>'Recensement DPS'!G4</f>
        <v>Elaine P6 / Clotho P4</v>
      </c>
      <c r="L4" s="15" t="str">
        <f>'Recensement DPS'!I4</f>
        <v>Diane P5</v>
      </c>
      <c r="M4" s="15" t="str">
        <f>'Recensement DPS'!K4</f>
        <v>Escanor P8 / King P7</v>
      </c>
      <c r="N4" s="15" t="str">
        <f>'Recensement DPS'!M4</f>
        <v>Meliodas P8</v>
      </c>
      <c r="O4" s="15" t="str">
        <f>'Recensement DPS'!O4</f>
        <v>Merlin P10</v>
      </c>
    </row>
    <row r="5" ht="21.75" customHeight="1">
      <c r="A5" s="10" t="s">
        <v>57</v>
      </c>
      <c r="B5" s="11">
        <f>COUNTIF('Recensement DPS'!D4:D24,"&gt;0")</f>
        <v>1</v>
      </c>
      <c r="C5" s="11">
        <f>SUM('Recensement DPS'!D4:D24)</f>
        <v>1</v>
      </c>
      <c r="F5" s="16" t="s">
        <v>39</v>
      </c>
      <c r="G5" s="17">
        <f t="array" ref="G5">COUNTIF({'Recensement DPS'!B5;'Recensement DPS'!D5;'Recensement DPS'!F5;'Recensement DPS'!H5;'Recensement DPS'!J5;'Recensement DPS'!L5;'Recensement DPS'!N5},"&gt;0")</f>
        <v>0</v>
      </c>
      <c r="H5" s="17">
        <f>SUM('Recensement DPS'!B5,'Recensement DPS'!D5,'Recensement DPS'!F5,'Recensement DPS'!H5,'Recensement DPS'!J5,'Recensement DPS'!L5,'Recensement DPS'!N5)</f>
        <v>0</v>
      </c>
      <c r="I5" s="18" t="str">
        <f>'Recensement DPS'!C5</f>
        <v/>
      </c>
      <c r="J5" s="18" t="str">
        <f>'Recensement DPS'!E5</f>
        <v/>
      </c>
      <c r="K5" s="18" t="str">
        <f>'Recensement DPS'!G5</f>
        <v/>
      </c>
      <c r="L5" s="18" t="str">
        <f>'Recensement DPS'!I5</f>
        <v/>
      </c>
      <c r="M5" s="18" t="str">
        <f>'Recensement DPS'!K5</f>
        <v/>
      </c>
      <c r="N5" s="18" t="str">
        <f>'Recensement DPS'!M5</f>
        <v/>
      </c>
      <c r="O5" s="18" t="str">
        <f>'Recensement DPS'!O5</f>
        <v/>
      </c>
    </row>
    <row r="6" ht="21.75" customHeight="1">
      <c r="A6" s="5" t="s">
        <v>60</v>
      </c>
      <c r="B6" s="8">
        <f>COUNTIF('Recensement DPS'!F4:F24,"&gt;0")</f>
        <v>1</v>
      </c>
      <c r="C6" s="8">
        <f>SUM('Recensement DPS'!F4:F24)</f>
        <v>2</v>
      </c>
      <c r="F6" s="12" t="s">
        <v>40</v>
      </c>
      <c r="G6" s="14">
        <f t="array" ref="G6">COUNTIF({'Recensement DPS'!B6;'Recensement DPS'!D6;'Recensement DPS'!F6;'Recensement DPS'!H6;'Recensement DPS'!J6;'Recensement DPS'!L6;'Recensement DPS'!N6},"&gt;0")</f>
        <v>0</v>
      </c>
      <c r="H6" s="14">
        <f>SUM('Recensement DPS'!B6,'Recensement DPS'!D6,'Recensement DPS'!F6,'Recensement DPS'!H6,'Recensement DPS'!J6,'Recensement DPS'!L6,'Recensement DPS'!N6)</f>
        <v>0</v>
      </c>
      <c r="I6" s="15" t="str">
        <f>'Recensement DPS'!C6</f>
        <v/>
      </c>
      <c r="J6" s="15" t="str">
        <f>'Recensement DPS'!E6</f>
        <v/>
      </c>
      <c r="K6" s="15" t="str">
        <f>'Recensement DPS'!G6</f>
        <v/>
      </c>
      <c r="L6" s="15" t="str">
        <f>'Recensement DPS'!I6</f>
        <v/>
      </c>
      <c r="M6" s="15" t="str">
        <f>'Recensement DPS'!K6</f>
        <v/>
      </c>
      <c r="N6" s="15" t="str">
        <f>'Recensement DPS'!M6</f>
        <v/>
      </c>
      <c r="O6" s="15" t="str">
        <f>'Recensement DPS'!O6</f>
        <v/>
      </c>
    </row>
    <row r="7" ht="21.75" customHeight="1">
      <c r="A7" s="10" t="s">
        <v>61</v>
      </c>
      <c r="B7" s="11">
        <f>COUNTIF('Recensement DPS'!H4:H24,"&gt;0")</f>
        <v>1</v>
      </c>
      <c r="C7" s="11">
        <f>SUM('Recensement DPS'!H4:H24)</f>
        <v>1</v>
      </c>
      <c r="F7" s="16" t="s">
        <v>41</v>
      </c>
      <c r="G7" s="17">
        <f t="array" ref="G7">COUNTIF({'Recensement DPS'!B7;'Recensement DPS'!D7;'Recensement DPS'!F7;'Recensement DPS'!H7;'Recensement DPS'!J7;'Recensement DPS'!L7;'Recensement DPS'!N7},"&gt;0")</f>
        <v>0</v>
      </c>
      <c r="H7" s="17">
        <f>SUM('Recensement DPS'!B7,'Recensement DPS'!D7,'Recensement DPS'!F7,'Recensement DPS'!H7,'Recensement DPS'!J7,'Recensement DPS'!L7,'Recensement DPS'!N7)</f>
        <v>0</v>
      </c>
      <c r="I7" s="18" t="str">
        <f>'Recensement DPS'!C7</f>
        <v/>
      </c>
      <c r="J7" s="18" t="str">
        <f>'Recensement DPS'!E7</f>
        <v/>
      </c>
      <c r="K7" s="18" t="str">
        <f>'Recensement DPS'!G7</f>
        <v/>
      </c>
      <c r="L7" s="18" t="str">
        <f>'Recensement DPS'!I7</f>
        <v/>
      </c>
      <c r="M7" s="18" t="str">
        <f>'Recensement DPS'!K7</f>
        <v/>
      </c>
      <c r="N7" s="18" t="str">
        <f>'Recensement DPS'!M7</f>
        <v/>
      </c>
      <c r="O7" s="18" t="str">
        <f>'Recensement DPS'!O7</f>
        <v/>
      </c>
    </row>
    <row r="8" ht="22.5" customHeight="1">
      <c r="A8" s="5" t="s">
        <v>62</v>
      </c>
      <c r="B8" s="8">
        <f>COUNTIF('Recensement DPS'!J4:J24,"&gt;0")</f>
        <v>1</v>
      </c>
      <c r="C8" s="8">
        <f>SUM('Recensement DPS'!J4:J24)</f>
        <v>2</v>
      </c>
      <c r="F8" s="12" t="s">
        <v>42</v>
      </c>
      <c r="G8" s="14">
        <f t="array" ref="G8">COUNTIF({'Recensement DPS'!B8;'Recensement DPS'!D8;'Recensement DPS'!F8;'Recensement DPS'!H8;'Recensement DPS'!J8;'Recensement DPS'!L8;'Recensement DPS'!N8},"&gt;0")</f>
        <v>0</v>
      </c>
      <c r="H8" s="14">
        <f>SUM('Recensement DPS'!B8,'Recensement DPS'!D8,'Recensement DPS'!F8,'Recensement DPS'!H8,'Recensement DPS'!J8,'Recensement DPS'!L8,'Recensement DPS'!N8)</f>
        <v>0</v>
      </c>
      <c r="I8" s="15" t="str">
        <f>'Recensement DPS'!C8</f>
        <v/>
      </c>
      <c r="J8" s="15" t="str">
        <f>'Recensement DPS'!E8</f>
        <v/>
      </c>
      <c r="K8" s="15" t="str">
        <f>'Recensement DPS'!G8</f>
        <v/>
      </c>
      <c r="L8" s="15" t="str">
        <f>'Recensement DPS'!I8</f>
        <v/>
      </c>
      <c r="M8" s="15" t="str">
        <f>'Recensement DPS'!K8</f>
        <v/>
      </c>
      <c r="N8" s="15" t="str">
        <f>'Recensement DPS'!M8</f>
        <v/>
      </c>
      <c r="O8" s="15" t="str">
        <f>'Recensement DPS'!O8</f>
        <v/>
      </c>
    </row>
    <row r="9" ht="21.0" customHeight="1">
      <c r="A9" s="10" t="s">
        <v>63</v>
      </c>
      <c r="B9" s="11">
        <f>COUNTIF('Recensement DPS'!L4:L24,"&gt;0")</f>
        <v>1</v>
      </c>
      <c r="C9" s="11">
        <f>SUM('Recensement DPS'!L4:L24)</f>
        <v>1</v>
      </c>
      <c r="F9" s="16" t="s">
        <v>43</v>
      </c>
      <c r="G9" s="17">
        <f t="array" ref="G9">COUNTIF({'Recensement DPS'!B9;'Recensement DPS'!D9;'Recensement DPS'!F9;'Recensement DPS'!H9;'Recensement DPS'!J9;'Recensement DPS'!L9;'Recensement DPS'!N9},"&gt;0")</f>
        <v>0</v>
      </c>
      <c r="H9" s="17">
        <f>SUM('Recensement DPS'!B9,'Recensement DPS'!D9,'Recensement DPS'!F9,'Recensement DPS'!H9,'Recensement DPS'!J9,'Recensement DPS'!L9,'Recensement DPS'!N9)</f>
        <v>0</v>
      </c>
      <c r="I9" s="18" t="str">
        <f>'Recensement DPS'!C9</f>
        <v/>
      </c>
      <c r="J9" s="18" t="str">
        <f>'Recensement DPS'!E9</f>
        <v/>
      </c>
      <c r="K9" s="18" t="str">
        <f>'Recensement DPS'!G9</f>
        <v/>
      </c>
      <c r="L9" s="18" t="str">
        <f>'Recensement DPS'!I9</f>
        <v/>
      </c>
      <c r="M9" s="18" t="str">
        <f>'Recensement DPS'!K9</f>
        <v/>
      </c>
      <c r="N9" s="18" t="str">
        <f>'Recensement DPS'!M9</f>
        <v/>
      </c>
      <c r="O9" s="18" t="str">
        <f>'Recensement DPS'!O9</f>
        <v/>
      </c>
    </row>
    <row r="10" ht="19.5" customHeight="1">
      <c r="A10" s="5" t="s">
        <v>64</v>
      </c>
      <c r="B10" s="8">
        <f>COUNTIF('Recensement DPS'!N4:N24,"&gt;0")</f>
        <v>1</v>
      </c>
      <c r="C10" s="8">
        <f>SUM('Recensement DPS'!N4:N24)</f>
        <v>1</v>
      </c>
      <c r="F10" s="12" t="s">
        <v>44</v>
      </c>
      <c r="G10" s="14">
        <f t="array" ref="G10">COUNTIF({'Recensement DPS'!B10;'Recensement DPS'!D10;'Recensement DPS'!F10;'Recensement DPS'!H10;'Recensement DPS'!J10;'Recensement DPS'!L10;'Recensement DPS'!N10},"&gt;0")</f>
        <v>0</v>
      </c>
      <c r="H10" s="14">
        <f>SUM('Recensement DPS'!B10,'Recensement DPS'!D10,'Recensement DPS'!F10,'Recensement DPS'!H10,'Recensement DPS'!J10,'Recensement DPS'!L10,'Recensement DPS'!N10)</f>
        <v>0</v>
      </c>
      <c r="I10" s="15" t="str">
        <f>'Recensement DPS'!C10</f>
        <v/>
      </c>
      <c r="J10" s="15" t="str">
        <f>'Recensement DPS'!E10</f>
        <v/>
      </c>
      <c r="K10" s="15" t="str">
        <f>'Recensement DPS'!G10</f>
        <v/>
      </c>
      <c r="L10" s="15" t="str">
        <f>'Recensement DPS'!I10</f>
        <v/>
      </c>
      <c r="M10" s="15" t="str">
        <f>'Recensement DPS'!K10</f>
        <v/>
      </c>
      <c r="N10" s="15" t="str">
        <f>'Recensement DPS'!M10</f>
        <v/>
      </c>
      <c r="O10" s="15" t="str">
        <f>'Recensement DPS'!O10</f>
        <v/>
      </c>
    </row>
    <row r="11" ht="21.75" customHeight="1">
      <c r="F11" s="19" t="s">
        <v>45</v>
      </c>
      <c r="G11" s="14">
        <f t="array" ref="G11">COUNTIF({'Recensement DPS'!B11;'Recensement DPS'!D11;'Recensement DPS'!F11;'Recensement DPS'!H11;'Recensement DPS'!J11;'Recensement DPS'!L11;'Recensement DPS'!N11},"&gt;0")</f>
        <v>0</v>
      </c>
      <c r="H11" s="14">
        <f>SUM('Recensement DPS'!B11,'Recensement DPS'!D11,'Recensement DPS'!F11,'Recensement DPS'!H11,'Recensement DPS'!J11,'Recensement DPS'!L11,'Recensement DPS'!N11)</f>
        <v>0</v>
      </c>
      <c r="I11" s="15" t="str">
        <f>'Recensement DPS'!C11</f>
        <v/>
      </c>
      <c r="J11" s="15" t="str">
        <f>'Recensement DPS'!E11</f>
        <v/>
      </c>
      <c r="K11" s="15" t="str">
        <f>'Recensement DPS'!G11</f>
        <v/>
      </c>
      <c r="L11" s="15" t="str">
        <f>'Recensement DPS'!I11</f>
        <v/>
      </c>
      <c r="M11" s="15" t="str">
        <f>'Recensement DPS'!K11</f>
        <v/>
      </c>
      <c r="N11" s="15" t="str">
        <f>'Recensement DPS'!M11</f>
        <v/>
      </c>
      <c r="O11" s="15" t="str">
        <f>'Recensement DPS'!O11</f>
        <v/>
      </c>
    </row>
    <row r="12" ht="25.5" customHeight="1">
      <c r="A12" s="20" t="s">
        <v>65</v>
      </c>
      <c r="F12" s="12" t="s">
        <v>46</v>
      </c>
      <c r="G12" s="14">
        <f t="array" ref="G12">COUNTIF({'Recensement DPS'!B12;'Recensement DPS'!D12;'Recensement DPS'!F12;'Recensement DPS'!H12;'Recensement DPS'!J12;'Recensement DPS'!L12;'Recensement DPS'!N12},"&gt;0")</f>
        <v>0</v>
      </c>
      <c r="H12" s="14">
        <f>SUM('Recensement DPS'!B12,'Recensement DPS'!D12,'Recensement DPS'!F12,'Recensement DPS'!H12,'Recensement DPS'!J12,'Recensement DPS'!L12,'Recensement DPS'!N12)</f>
        <v>0</v>
      </c>
      <c r="I12" s="15" t="str">
        <f>'Recensement DPS'!C12</f>
        <v/>
      </c>
      <c r="J12" s="15" t="str">
        <f>'Recensement DPS'!E12</f>
        <v/>
      </c>
      <c r="K12" s="15" t="str">
        <f>'Recensement DPS'!G12</f>
        <v/>
      </c>
      <c r="L12" s="15" t="str">
        <f>'Recensement DPS'!I12</f>
        <v/>
      </c>
      <c r="M12" s="15" t="str">
        <f>'Recensement DPS'!K12</f>
        <v/>
      </c>
      <c r="N12" s="15" t="str">
        <f>'Recensement DPS'!M12</f>
        <v/>
      </c>
      <c r="O12" s="15" t="str">
        <f>'Recensement DPS'!O12</f>
        <v/>
      </c>
    </row>
    <row r="13" ht="25.5" customHeight="1">
      <c r="A13" s="21" t="s">
        <v>66</v>
      </c>
      <c r="B13" s="22" t="s">
        <v>26</v>
      </c>
      <c r="F13" s="16" t="s">
        <v>47</v>
      </c>
      <c r="G13" s="17">
        <f t="array" ref="G13">COUNTIF({'Recensement DPS'!B13;'Recensement DPS'!D13;'Recensement DPS'!F13;'Recensement DPS'!H13;'Recensement DPS'!J13;'Recensement DPS'!L13;'Recensement DPS'!N13},"&gt;0")</f>
        <v>0</v>
      </c>
      <c r="H13" s="17">
        <f>SUM('Recensement DPS'!B13,'Recensement DPS'!D13,'Recensement DPS'!F13,'Recensement DPS'!H13,'Recensement DPS'!J13,'Recensement DPS'!L13,'Recensement DPS'!N13)</f>
        <v>0</v>
      </c>
      <c r="I13" s="18" t="str">
        <f>'Recensement DPS'!C13</f>
        <v/>
      </c>
      <c r="J13" s="18" t="str">
        <f>'Recensement DPS'!E13</f>
        <v/>
      </c>
      <c r="K13" s="18" t="str">
        <f>'Recensement DPS'!G13</f>
        <v/>
      </c>
      <c r="L13" s="18" t="str">
        <f>'Recensement DPS'!I13</f>
        <v/>
      </c>
      <c r="M13" s="18" t="str">
        <f>'Recensement DPS'!K13</f>
        <v/>
      </c>
      <c r="N13" s="18" t="str">
        <f>'Recensement DPS'!M13</f>
        <v/>
      </c>
      <c r="O13" s="18" t="str">
        <f>'Recensement DPS'!O13</f>
        <v/>
      </c>
    </row>
    <row r="14" ht="25.5" customHeight="1">
      <c r="A14" s="4" t="s">
        <v>67</v>
      </c>
      <c r="B14" s="4" t="s">
        <v>4</v>
      </c>
      <c r="C14" s="4" t="s">
        <v>68</v>
      </c>
      <c r="D14" s="4" t="s">
        <v>69</v>
      </c>
      <c r="F14" s="12" t="s">
        <v>48</v>
      </c>
      <c r="G14" s="14">
        <f t="array" ref="G14">COUNTIF({'Recensement DPS'!B14;'Recensement DPS'!D14;'Recensement DPS'!F14;'Recensement DPS'!H14;'Recensement DPS'!J14;'Recensement DPS'!L14;'Recensement DPS'!N14},"&gt;0")</f>
        <v>0</v>
      </c>
      <c r="H14" s="14">
        <f>SUM('Recensement DPS'!B14,'Recensement DPS'!D14,'Recensement DPS'!F14,'Recensement DPS'!H14,'Recensement DPS'!J14,'Recensement DPS'!L14,'Recensement DPS'!N14)</f>
        <v>0</v>
      </c>
      <c r="I14" s="15" t="str">
        <f>'Recensement DPS'!C14</f>
        <v/>
      </c>
      <c r="J14" s="15" t="str">
        <f>'Recensement DPS'!E14</f>
        <v/>
      </c>
      <c r="K14" s="15" t="str">
        <f>'Recensement DPS'!G14</f>
        <v/>
      </c>
      <c r="L14" s="15" t="str">
        <f>'Recensement DPS'!I14</f>
        <v/>
      </c>
      <c r="M14" s="15" t="str">
        <f>'Recensement DPS'!K14</f>
        <v/>
      </c>
      <c r="N14" s="15" t="str">
        <f>'Recensement DPS'!M14</f>
        <v/>
      </c>
      <c r="O14" s="15" t="str">
        <f>'Recensement DPS'!O14</f>
        <v/>
      </c>
    </row>
    <row r="15" ht="25.5" customHeight="1">
      <c r="A15" s="14">
        <f t="shared" ref="A15:A119" si="1">IF(B15="","",ROW()-14)</f>
        <v>1</v>
      </c>
      <c r="B15" s="14" t="str">
        <f>IFERROR(__xludf.DUMMYFUNCTION("IFERROR(SORT(FILTER(P15:R119,Q15:Q119&lt;&gt;""""),3,FALSE,2,TRUE),"""")"),"Akaaarix")</f>
        <v>Akaaarix</v>
      </c>
      <c r="C15" s="23" t="str">
        <f>IFERROR(__xludf.DUMMYFUNCTION("""COMPUTED_VALUE"""),"Merlin P10")</f>
        <v>Merlin P10</v>
      </c>
      <c r="D15" s="23">
        <f>IFERROR(__xludf.DUMMYFUNCTION("""COMPUTED_VALUE"""),10.0)</f>
        <v>10</v>
      </c>
      <c r="F15" s="16" t="s">
        <v>49</v>
      </c>
      <c r="G15" s="17">
        <f t="array" ref="G15">COUNTIF({'Recensement DPS'!B15;'Recensement DPS'!D15;'Recensement DPS'!F15;'Recensement DPS'!H15;'Recensement DPS'!J15;'Recensement DPS'!L15;'Recensement DPS'!N15},"&gt;0")</f>
        <v>0</v>
      </c>
      <c r="H15" s="17">
        <f>SUM('Recensement DPS'!B15,'Recensement DPS'!D15,'Recensement DPS'!F15,'Recensement DPS'!H15,'Recensement DPS'!J15,'Recensement DPS'!L15,'Recensement DPS'!N15)</f>
        <v>0</v>
      </c>
      <c r="I15" s="18" t="str">
        <f>'Recensement DPS'!C15</f>
        <v/>
      </c>
      <c r="J15" s="18" t="str">
        <f>'Recensement DPS'!E15</f>
        <v/>
      </c>
      <c r="K15" s="18" t="str">
        <f>'Recensement DPS'!G15</f>
        <v/>
      </c>
      <c r="L15" s="18" t="str">
        <f>'Recensement DPS'!I15</f>
        <v/>
      </c>
      <c r="M15" s="18" t="str">
        <f>'Recensement DPS'!K15</f>
        <v/>
      </c>
      <c r="N15" s="18" t="str">
        <f>'Recensement DPS'!M15</f>
        <v/>
      </c>
      <c r="O15" s="18" t="str">
        <f>'Recensement DPS'!O15</f>
        <v/>
      </c>
      <c r="P15" s="24" t="str">
        <f>'Recensement DPS'!A4</f>
        <v>Akaaarix</v>
      </c>
      <c r="Q15" s="24" t="str">
        <f>IFERROR(__xludf.DUMMYFUNCTION("IFERROR(INDEX(SPLIT(IF(REGEXMATCH(SWITCH($B$13,""Feu"",'Recensement DPS'!C4,""Glace"",'Recensement DPS'!E4,""Vent"",'Recensement DPS'!G4,""Terre"",'Recensement DPS'!I4,""Lumière"",'Recensement DPS'!K4,""Ténèbres"",'Recensement DPS'!M4,""Foudre"",'Recensem"&amp;"ent DPS'!O4),""/""),SWITCH($B$13,""Feu"",'Recensement DPS'!C4,""Glace"",'Recensement DPS'!E4,""Vent"",'Recensement DPS'!G4,""Terre"",'Recensement DPS'!I4,""Lumière"",'Recensement DPS'!K4,""Ténèbres"",'Recensement DPS'!M4,""Foudre"",'Recensement DPS'!O4),R"&amp;"EGEXREPLACE(SWITCH($B$13,""Feu"",'Recensement DPS'!C4,""Glace"",'Recensement DPS'!E4,""Vent"",'Recensement DPS'!G4,""Terre"",'Recensement DPS'!I4,""Lumière"",'Recensement DPS'!K4,""Ténèbres"",'Recensement DPS'!M4,""Foudre"",'Recensement DPS'!O4),""(?i)(P["&amp;"0-9]+)\s+"",""$1 / "")),"" / "",FALSE,TRUE),1,1),"""")"),"Merlin P10")</f>
        <v>Merlin P10</v>
      </c>
      <c r="R15" s="24">
        <f>IFERROR(__xludf.DUMMYFUNCTION("IF(Q15="""","""",IFERROR(VALUE(REGEXEXTRACT(Q15,""(?i)P\s*([0-9]+)"")),""""))"),10.0)</f>
        <v>10</v>
      </c>
    </row>
    <row r="16" ht="25.5" customHeight="1">
      <c r="A16" s="17" t="str">
        <f t="shared" si="1"/>
        <v/>
      </c>
      <c r="B16" s="23"/>
      <c r="C16" s="23"/>
      <c r="D16" s="23"/>
      <c r="F16" s="12" t="s">
        <v>50</v>
      </c>
      <c r="G16" s="14">
        <f t="array" ref="G16">COUNTIF({'Recensement DPS'!B16;'Recensement DPS'!D16;'Recensement DPS'!F16;'Recensement DPS'!H16;'Recensement DPS'!J16;'Recensement DPS'!L16;'Recensement DPS'!N16},"&gt;0")</f>
        <v>0</v>
      </c>
      <c r="H16" s="14">
        <f>SUM('Recensement DPS'!B16,'Recensement DPS'!D16,'Recensement DPS'!F16,'Recensement DPS'!H16,'Recensement DPS'!J16,'Recensement DPS'!L16,'Recensement DPS'!N16)</f>
        <v>0</v>
      </c>
      <c r="I16" s="15" t="str">
        <f>'Recensement DPS'!C16</f>
        <v/>
      </c>
      <c r="J16" s="15" t="str">
        <f>'Recensement DPS'!E16</f>
        <v/>
      </c>
      <c r="K16" s="15" t="str">
        <f>'Recensement DPS'!G16</f>
        <v/>
      </c>
      <c r="L16" s="15" t="str">
        <f>'Recensement DPS'!I16</f>
        <v/>
      </c>
      <c r="M16" s="15" t="str">
        <f>'Recensement DPS'!K16</f>
        <v/>
      </c>
      <c r="N16" s="15" t="str">
        <f>'Recensement DPS'!M16</f>
        <v/>
      </c>
      <c r="O16" s="15" t="str">
        <f>'Recensement DPS'!O16</f>
        <v/>
      </c>
      <c r="P16" s="24" t="str">
        <f>'Recensement DPS'!A4</f>
        <v>Akaaarix</v>
      </c>
      <c r="Q16" s="24" t="str">
        <f>IFERROR(__xludf.DUMMYFUNCTION("IFERROR(INDEX(SPLIT(IF(REGEXMATCH(SWITCH($B$13,""Feu"",'Recensement DPS'!C4,""Glace"",'Recensement DPS'!E4,""Vent"",'Recensement DPS'!G4,""Terre"",'Recensement DPS'!I4,""Lumière"",'Recensement DPS'!K4,""Ténèbres"",'Recensement DPS'!M4,""Foudre"",'Recensem"&amp;"ent DPS'!O4),""/""),SWITCH($B$13,""Feu"",'Recensement DPS'!C4,""Glace"",'Recensement DPS'!E4,""Vent"",'Recensement DPS'!G4,""Terre"",'Recensement DPS'!I4,""Lumière"",'Recensement DPS'!K4,""Ténèbres"",'Recensement DPS'!M4,""Foudre"",'Recensement DPS'!O4),R"&amp;"EGEXREPLACE(SWITCH($B$13,""Feu"",'Recensement DPS'!C4,""Glace"",'Recensement DPS'!E4,""Vent"",'Recensement DPS'!G4,""Terre"",'Recensement DPS'!I4,""Lumière"",'Recensement DPS'!K4,""Ténèbres"",'Recensement DPS'!M4,""Foudre"",'Recensement DPS'!O4),""(?i)(P["&amp;"0-9]+)\s+"",""$1 / "")),"" / "",FALSE,TRUE),1,2),"""")"),"")</f>
        <v/>
      </c>
      <c r="R16" s="24" t="str">
        <f>IFERROR(__xludf.DUMMYFUNCTION("IF(Q16="""","""",IFERROR(VALUE(REGEXEXTRACT(Q16,""(?i)P\s*([0-9]+)"")),""""))"),"")</f>
        <v/>
      </c>
    </row>
    <row r="17" ht="25.5" customHeight="1">
      <c r="A17" s="14" t="str">
        <f t="shared" si="1"/>
        <v/>
      </c>
      <c r="B17" s="23"/>
      <c r="C17" s="23"/>
      <c r="D17" s="23"/>
      <c r="F17" s="16" t="s">
        <v>51</v>
      </c>
      <c r="G17" s="17">
        <f t="array" ref="G17">COUNTIF({'Recensement DPS'!B17;'Recensement DPS'!D17;'Recensement DPS'!F17;'Recensement DPS'!H17;'Recensement DPS'!J17;'Recensement DPS'!L17;'Recensement DPS'!N17},"&gt;0")</f>
        <v>0</v>
      </c>
      <c r="H17" s="17">
        <f>SUM('Recensement DPS'!B17,'Recensement DPS'!D17,'Recensement DPS'!F17,'Recensement DPS'!H17,'Recensement DPS'!J17,'Recensement DPS'!L17,'Recensement DPS'!N17)</f>
        <v>0</v>
      </c>
      <c r="I17" s="18" t="str">
        <f>'Recensement DPS'!C17</f>
        <v/>
      </c>
      <c r="J17" s="18" t="str">
        <f>'Recensement DPS'!E17</f>
        <v/>
      </c>
      <c r="K17" s="18" t="str">
        <f>'Recensement DPS'!G17</f>
        <v/>
      </c>
      <c r="L17" s="18" t="str">
        <f>'Recensement DPS'!I17</f>
        <v/>
      </c>
      <c r="M17" s="18" t="str">
        <f>'Recensement DPS'!K17</f>
        <v/>
      </c>
      <c r="N17" s="18" t="str">
        <f>'Recensement DPS'!M17</f>
        <v/>
      </c>
      <c r="O17" s="18" t="str">
        <f>'Recensement DPS'!O17</f>
        <v/>
      </c>
      <c r="P17" s="24" t="str">
        <f>'Recensement DPS'!A4</f>
        <v>Akaaarix</v>
      </c>
      <c r="Q17" s="24" t="str">
        <f>IFERROR(__xludf.DUMMYFUNCTION("IFERROR(INDEX(SPLIT(IF(REGEXMATCH(SWITCH($B$13,""Feu"",'Recensement DPS'!C4,""Glace"",'Recensement DPS'!E4,""Vent"",'Recensement DPS'!G4,""Terre"",'Recensement DPS'!I4,""Lumière"",'Recensement DPS'!K4,""Ténèbres"",'Recensement DPS'!M4,""Foudre"",'Recensem"&amp;"ent DPS'!O4),""/""),SWITCH($B$13,""Feu"",'Recensement DPS'!C4,""Glace"",'Recensement DPS'!E4,""Vent"",'Recensement DPS'!G4,""Terre"",'Recensement DPS'!I4,""Lumière"",'Recensement DPS'!K4,""Ténèbres"",'Recensement DPS'!M4,""Foudre"",'Recensement DPS'!O4),R"&amp;"EGEXREPLACE(SWITCH($B$13,""Feu"",'Recensement DPS'!C4,""Glace"",'Recensement DPS'!E4,""Vent"",'Recensement DPS'!G4,""Terre"",'Recensement DPS'!I4,""Lumière"",'Recensement DPS'!K4,""Ténèbres"",'Recensement DPS'!M4,""Foudre"",'Recensement DPS'!O4),""(?i)(P["&amp;"0-9]+)\s+"",""$1 / "")),"" / "",FALSE,TRUE),1,3),"""")"),"")</f>
        <v/>
      </c>
      <c r="R17" s="24" t="str">
        <f>IFERROR(__xludf.DUMMYFUNCTION("IF(Q17="""","""",IFERROR(VALUE(REGEXEXTRACT(Q17,""(?i)P\s*([0-9]+)"")),""""))"),"")</f>
        <v/>
      </c>
    </row>
    <row r="18" ht="25.5" customHeight="1">
      <c r="A18" s="17" t="str">
        <f t="shared" si="1"/>
        <v/>
      </c>
      <c r="B18" s="23"/>
      <c r="C18" s="23"/>
      <c r="D18" s="23"/>
      <c r="F18" s="12" t="s">
        <v>52</v>
      </c>
      <c r="G18" s="14">
        <f t="array" ref="G18">COUNTIF({'Recensement DPS'!B18;'Recensement DPS'!D18;'Recensement DPS'!F18;'Recensement DPS'!H18;'Recensement DPS'!J18;'Recensement DPS'!L18;'Recensement DPS'!N18},"&gt;0")</f>
        <v>0</v>
      </c>
      <c r="H18" s="14">
        <f>SUM('Recensement DPS'!B18,'Recensement DPS'!D18,'Recensement DPS'!F18,'Recensement DPS'!H18,'Recensement DPS'!J18,'Recensement DPS'!L18,'Recensement DPS'!N18)</f>
        <v>0</v>
      </c>
      <c r="I18" s="15" t="str">
        <f>'Recensement DPS'!C18</f>
        <v/>
      </c>
      <c r="J18" s="15" t="str">
        <f>'Recensement DPS'!E18</f>
        <v/>
      </c>
      <c r="K18" s="15" t="str">
        <f>'Recensement DPS'!G18</f>
        <v/>
      </c>
      <c r="L18" s="15" t="str">
        <f>'Recensement DPS'!I18</f>
        <v/>
      </c>
      <c r="M18" s="15" t="str">
        <f>'Recensement DPS'!K18</f>
        <v/>
      </c>
      <c r="N18" s="15" t="str">
        <f>'Recensement DPS'!M18</f>
        <v/>
      </c>
      <c r="O18" s="15" t="str">
        <f>'Recensement DPS'!O18</f>
        <v/>
      </c>
      <c r="P18" s="24" t="str">
        <f>'Recensement DPS'!A4</f>
        <v>Akaaarix</v>
      </c>
      <c r="Q18" s="24" t="str">
        <f>IFERROR(__xludf.DUMMYFUNCTION("IFERROR(INDEX(SPLIT(IF(REGEXMATCH(SWITCH($B$13,""Feu"",'Recensement DPS'!C4,""Glace"",'Recensement DPS'!E4,""Vent"",'Recensement DPS'!G4,""Terre"",'Recensement DPS'!I4,""Lumière"",'Recensement DPS'!K4,""Ténèbres"",'Recensement DPS'!M4,""Foudre"",'Recensem"&amp;"ent DPS'!O4),""/""),SWITCH($B$13,""Feu"",'Recensement DPS'!C4,""Glace"",'Recensement DPS'!E4,""Vent"",'Recensement DPS'!G4,""Terre"",'Recensement DPS'!I4,""Lumière"",'Recensement DPS'!K4,""Ténèbres"",'Recensement DPS'!M4,""Foudre"",'Recensement DPS'!O4),R"&amp;"EGEXREPLACE(SWITCH($B$13,""Feu"",'Recensement DPS'!C4,""Glace"",'Recensement DPS'!E4,""Vent"",'Recensement DPS'!G4,""Terre"",'Recensement DPS'!I4,""Lumière"",'Recensement DPS'!K4,""Ténèbres"",'Recensement DPS'!M4,""Foudre"",'Recensement DPS'!O4),""(?i)(P["&amp;"0-9]+)\s+"",""$1 / "")),"" / "",FALSE,TRUE),1,4),"""")"),"")</f>
        <v/>
      </c>
      <c r="R18" s="24" t="str">
        <f>IFERROR(__xludf.DUMMYFUNCTION("IF(Q18="""","""",IFERROR(VALUE(REGEXEXTRACT(Q18,""(?i)P\s*([0-9]+)"")),""""))"),"")</f>
        <v/>
      </c>
    </row>
    <row r="19" ht="25.5" customHeight="1">
      <c r="A19" s="14" t="str">
        <f t="shared" si="1"/>
        <v/>
      </c>
      <c r="B19" s="23"/>
      <c r="C19" s="23"/>
      <c r="D19" s="23"/>
      <c r="F19" s="16" t="s">
        <v>53</v>
      </c>
      <c r="G19" s="17">
        <f t="array" ref="G19">COUNTIF({'Recensement DPS'!B19;'Recensement DPS'!D19;'Recensement DPS'!F19;'Recensement DPS'!H19;'Recensement DPS'!J19;'Recensement DPS'!L19;'Recensement DPS'!N19},"&gt;0")</f>
        <v>0</v>
      </c>
      <c r="H19" s="17">
        <f>SUM('Recensement DPS'!B19,'Recensement DPS'!D19,'Recensement DPS'!F19,'Recensement DPS'!H19,'Recensement DPS'!J19,'Recensement DPS'!L19,'Recensement DPS'!N19)</f>
        <v>0</v>
      </c>
      <c r="I19" s="18" t="str">
        <f>'Recensement DPS'!C19</f>
        <v/>
      </c>
      <c r="J19" s="18" t="str">
        <f>'Recensement DPS'!E19</f>
        <v/>
      </c>
      <c r="K19" s="18" t="str">
        <f>'Recensement DPS'!G19</f>
        <v/>
      </c>
      <c r="L19" s="18" t="str">
        <f>'Recensement DPS'!I19</f>
        <v/>
      </c>
      <c r="M19" s="18" t="str">
        <f>'Recensement DPS'!K19</f>
        <v/>
      </c>
      <c r="N19" s="18" t="str">
        <f>'Recensement DPS'!M19</f>
        <v/>
      </c>
      <c r="O19" s="18" t="str">
        <f>'Recensement DPS'!O19</f>
        <v/>
      </c>
      <c r="P19" s="24" t="str">
        <f>'Recensement DPS'!A4</f>
        <v>Akaaarix</v>
      </c>
      <c r="Q19" s="24" t="str">
        <f>IFERROR(__xludf.DUMMYFUNCTION("IFERROR(INDEX(SPLIT(IF(REGEXMATCH(SWITCH($B$13,""Feu"",'Recensement DPS'!C4,""Glace"",'Recensement DPS'!E4,""Vent"",'Recensement DPS'!G4,""Terre"",'Recensement DPS'!I4,""Lumière"",'Recensement DPS'!K4,""Ténèbres"",'Recensement DPS'!M4,""Foudre"",'Recensem"&amp;"ent DPS'!O4),""/""),SWITCH($B$13,""Feu"",'Recensement DPS'!C4,""Glace"",'Recensement DPS'!E4,""Vent"",'Recensement DPS'!G4,""Terre"",'Recensement DPS'!I4,""Lumière"",'Recensement DPS'!K4,""Ténèbres"",'Recensement DPS'!M4,""Foudre"",'Recensement DPS'!O4),R"&amp;"EGEXREPLACE(SWITCH($B$13,""Feu"",'Recensement DPS'!C4,""Glace"",'Recensement DPS'!E4,""Vent"",'Recensement DPS'!G4,""Terre"",'Recensement DPS'!I4,""Lumière"",'Recensement DPS'!K4,""Ténèbres"",'Recensement DPS'!M4,""Foudre"",'Recensement DPS'!O4),""(?i)(P["&amp;"0-9]+)\s+"",""$1 / "")),"" / "",FALSE,TRUE),1,5),"""")"),"")</f>
        <v/>
      </c>
      <c r="R19" s="24" t="str">
        <f>IFERROR(__xludf.DUMMYFUNCTION("IF(Q19="""","""",IFERROR(VALUE(REGEXEXTRACT(Q19,""(?i)P\s*([0-9]+)"")),""""))"),"")</f>
        <v/>
      </c>
    </row>
    <row r="20" ht="25.5" customHeight="1">
      <c r="A20" s="17" t="str">
        <f t="shared" si="1"/>
        <v/>
      </c>
      <c r="B20" s="23"/>
      <c r="C20" s="23"/>
      <c r="D20" s="23"/>
      <c r="F20" s="12" t="s">
        <v>54</v>
      </c>
      <c r="G20" s="14">
        <f t="array" ref="G20">COUNTIF({'Recensement DPS'!B20;'Recensement DPS'!D20;'Recensement DPS'!F20;'Recensement DPS'!H20;'Recensement DPS'!J20;'Recensement DPS'!L20;'Recensement DPS'!N20},"&gt;0")</f>
        <v>0</v>
      </c>
      <c r="H20" s="14">
        <f>SUM('Recensement DPS'!B20,'Recensement DPS'!D20,'Recensement DPS'!F20,'Recensement DPS'!H20,'Recensement DPS'!J20,'Recensement DPS'!L20,'Recensement DPS'!N20)</f>
        <v>0</v>
      </c>
      <c r="I20" s="15" t="str">
        <f>'Recensement DPS'!C20</f>
        <v/>
      </c>
      <c r="J20" s="15" t="str">
        <f>'Recensement DPS'!E20</f>
        <v/>
      </c>
      <c r="K20" s="15" t="str">
        <f>'Recensement DPS'!G20</f>
        <v/>
      </c>
      <c r="L20" s="15" t="str">
        <f>'Recensement DPS'!I20</f>
        <v/>
      </c>
      <c r="M20" s="15" t="str">
        <f>'Recensement DPS'!K20</f>
        <v/>
      </c>
      <c r="N20" s="15" t="str">
        <f>'Recensement DPS'!M20</f>
        <v/>
      </c>
      <c r="O20" s="15" t="str">
        <f>'Recensement DPS'!O20</f>
        <v/>
      </c>
      <c r="P20" s="24" t="str">
        <f>'Recensement DPS'!A5</f>
        <v>Aion</v>
      </c>
      <c r="Q20" s="24" t="str">
        <f>IFERROR(__xludf.DUMMYFUNCTION("IFERROR(INDEX(SPLIT(IF(REGEXMATCH(SWITCH($B$13,""Feu"",'Recensement DPS'!C5,""Glace"",'Recensement DPS'!E5,""Vent"",'Recensement DPS'!G5,""Terre"",'Recensement DPS'!I5,""Lumière"",'Recensement DPS'!K5,""Ténèbres"",'Recensement DPS'!M5,""Foudre"",'Recensem"&amp;"ent DPS'!O5),""/""),SWITCH($B$13,""Feu"",'Recensement DPS'!C5,""Glace"",'Recensement DPS'!E5,""Vent"",'Recensement DPS'!G5,""Terre"",'Recensement DPS'!I5,""Lumière"",'Recensement DPS'!K5,""Ténèbres"",'Recensement DPS'!M5,""Foudre"",'Recensement DPS'!O5),R"&amp;"EGEXREPLACE(SWITCH($B$13,""Feu"",'Recensement DPS'!C5,""Glace"",'Recensement DPS'!E5,""Vent"",'Recensement DPS'!G5,""Terre"",'Recensement DPS'!I5,""Lumière"",'Recensement DPS'!K5,""Ténèbres"",'Recensement DPS'!M5,""Foudre"",'Recensement DPS'!O5),""(?i)(P["&amp;"0-9]+)\s+"",""$1 / "")),"" / "",FALSE,TRUE),1,1),"""")"),"")</f>
        <v/>
      </c>
      <c r="R20" s="24" t="str">
        <f>IFERROR(__xludf.DUMMYFUNCTION("IF(Q20="""","""",IFERROR(VALUE(REGEXEXTRACT(Q20,""(?i)P\s*([0-9]+)"")),""""))"),"")</f>
        <v/>
      </c>
    </row>
    <row r="21" ht="25.5" customHeight="1">
      <c r="A21" s="14" t="str">
        <f t="shared" si="1"/>
        <v/>
      </c>
      <c r="B21" s="23"/>
      <c r="C21" s="23"/>
      <c r="D21" s="23"/>
      <c r="F21" s="16" t="s">
        <v>55</v>
      </c>
      <c r="G21" s="17">
        <f t="array" ref="G21">COUNTIF({'Recensement DPS'!B21;'Recensement DPS'!D21;'Recensement DPS'!F21;'Recensement DPS'!H21;'Recensement DPS'!J21;'Recensement DPS'!L21;'Recensement DPS'!N21},"&gt;0")</f>
        <v>0</v>
      </c>
      <c r="H21" s="17">
        <f>SUM('Recensement DPS'!B21,'Recensement DPS'!D21,'Recensement DPS'!F21,'Recensement DPS'!H21,'Recensement DPS'!J21,'Recensement DPS'!L21,'Recensement DPS'!N21)</f>
        <v>0</v>
      </c>
      <c r="I21" s="18" t="str">
        <f>'Recensement DPS'!C21</f>
        <v/>
      </c>
      <c r="J21" s="18" t="str">
        <f>'Recensement DPS'!E21</f>
        <v/>
      </c>
      <c r="K21" s="18" t="str">
        <f>'Recensement DPS'!G21</f>
        <v/>
      </c>
      <c r="L21" s="18" t="str">
        <f>'Recensement DPS'!I21</f>
        <v/>
      </c>
      <c r="M21" s="18" t="str">
        <f>'Recensement DPS'!K21</f>
        <v/>
      </c>
      <c r="N21" s="18" t="str">
        <f>'Recensement DPS'!M21</f>
        <v/>
      </c>
      <c r="O21" s="18" t="str">
        <f>'Recensement DPS'!O21</f>
        <v/>
      </c>
      <c r="P21" s="24" t="str">
        <f>'Recensement DPS'!A5</f>
        <v>Aion</v>
      </c>
      <c r="Q21" s="24" t="str">
        <f>IFERROR(__xludf.DUMMYFUNCTION("IFERROR(INDEX(SPLIT(IF(REGEXMATCH(SWITCH($B$13,""Feu"",'Recensement DPS'!C5,""Glace"",'Recensement DPS'!E5,""Vent"",'Recensement DPS'!G5,""Terre"",'Recensement DPS'!I5,""Lumière"",'Recensement DPS'!K5,""Ténèbres"",'Recensement DPS'!M5,""Foudre"",'Recensem"&amp;"ent DPS'!O5),""/""),SWITCH($B$13,""Feu"",'Recensement DPS'!C5,""Glace"",'Recensement DPS'!E5,""Vent"",'Recensement DPS'!G5,""Terre"",'Recensement DPS'!I5,""Lumière"",'Recensement DPS'!K5,""Ténèbres"",'Recensement DPS'!M5,""Foudre"",'Recensement DPS'!O5),R"&amp;"EGEXREPLACE(SWITCH($B$13,""Feu"",'Recensement DPS'!C5,""Glace"",'Recensement DPS'!E5,""Vent"",'Recensement DPS'!G5,""Terre"",'Recensement DPS'!I5,""Lumière"",'Recensement DPS'!K5,""Ténèbres"",'Recensement DPS'!M5,""Foudre"",'Recensement DPS'!O5),""(?i)(P["&amp;"0-9]+)\s+"",""$1 / "")),"" / "",FALSE,TRUE),1,2),"""")"),"")</f>
        <v/>
      </c>
      <c r="R21" s="24" t="str">
        <f>IFERROR(__xludf.DUMMYFUNCTION("IF(Q21="""","""",IFERROR(VALUE(REGEXEXTRACT(Q21,""(?i)P\s*([0-9]+)"")),""""))"),"")</f>
        <v/>
      </c>
    </row>
    <row r="22" ht="25.5" customHeight="1">
      <c r="A22" s="17" t="str">
        <f t="shared" si="1"/>
        <v/>
      </c>
      <c r="B22" s="23"/>
      <c r="C22" s="23"/>
      <c r="D22" s="23"/>
      <c r="F22" s="12" t="s">
        <v>56</v>
      </c>
      <c r="G22" s="14">
        <f t="array" ref="G22">COUNTIF({'Recensement DPS'!B22;'Recensement DPS'!D22;'Recensement DPS'!F22;'Recensement DPS'!H22;'Recensement DPS'!J22;'Recensement DPS'!L22;'Recensement DPS'!N22},"&gt;0")</f>
        <v>0</v>
      </c>
      <c r="H22" s="14">
        <f>SUM('Recensement DPS'!B22,'Recensement DPS'!D22,'Recensement DPS'!F22,'Recensement DPS'!H22,'Recensement DPS'!J22,'Recensement DPS'!L22,'Recensement DPS'!N22)</f>
        <v>0</v>
      </c>
      <c r="I22" s="15" t="str">
        <f>'Recensement DPS'!C22</f>
        <v/>
      </c>
      <c r="J22" s="15" t="str">
        <f>'Recensement DPS'!E22</f>
        <v/>
      </c>
      <c r="K22" s="15" t="str">
        <f>'Recensement DPS'!G22</f>
        <v/>
      </c>
      <c r="L22" s="15" t="str">
        <f>'Recensement DPS'!I22</f>
        <v/>
      </c>
      <c r="M22" s="15" t="str">
        <f>'Recensement DPS'!K22</f>
        <v/>
      </c>
      <c r="N22" s="15" t="str">
        <f>'Recensement DPS'!M22</f>
        <v/>
      </c>
      <c r="O22" s="15" t="str">
        <f>'Recensement DPS'!O22</f>
        <v/>
      </c>
      <c r="P22" s="24" t="str">
        <f>'Recensement DPS'!A5</f>
        <v>Aion</v>
      </c>
      <c r="Q22" s="24" t="str">
        <f>IFERROR(__xludf.DUMMYFUNCTION("IFERROR(INDEX(SPLIT(IF(REGEXMATCH(SWITCH($B$13,""Feu"",'Recensement DPS'!C5,""Glace"",'Recensement DPS'!E5,""Vent"",'Recensement DPS'!G5,""Terre"",'Recensement DPS'!I5,""Lumière"",'Recensement DPS'!K5,""Ténèbres"",'Recensement DPS'!M5,""Foudre"",'Recensem"&amp;"ent DPS'!O5),""/""),SWITCH($B$13,""Feu"",'Recensement DPS'!C5,""Glace"",'Recensement DPS'!E5,""Vent"",'Recensement DPS'!G5,""Terre"",'Recensement DPS'!I5,""Lumière"",'Recensement DPS'!K5,""Ténèbres"",'Recensement DPS'!M5,""Foudre"",'Recensement DPS'!O5),R"&amp;"EGEXREPLACE(SWITCH($B$13,""Feu"",'Recensement DPS'!C5,""Glace"",'Recensement DPS'!E5,""Vent"",'Recensement DPS'!G5,""Terre"",'Recensement DPS'!I5,""Lumière"",'Recensement DPS'!K5,""Ténèbres"",'Recensement DPS'!M5,""Foudre"",'Recensement DPS'!O5),""(?i)(P["&amp;"0-9]+)\s+"",""$1 / "")),"" / "",FALSE,TRUE),1,3),"""")"),"")</f>
        <v/>
      </c>
      <c r="R22" s="24" t="str">
        <f>IFERROR(__xludf.DUMMYFUNCTION("IF(Q22="""","""",IFERROR(VALUE(REGEXEXTRACT(Q22,""(?i)P\s*([0-9]+)"")),""""))"),"")</f>
        <v/>
      </c>
    </row>
    <row r="23" ht="25.5" customHeight="1">
      <c r="A23" s="14" t="str">
        <f t="shared" si="1"/>
        <v/>
      </c>
      <c r="B23" s="23"/>
      <c r="C23" s="23"/>
      <c r="D23" s="23"/>
      <c r="F23" s="16" t="s">
        <v>58</v>
      </c>
      <c r="G23" s="17">
        <f t="array" ref="G23">COUNTIF({'Recensement DPS'!B23;'Recensement DPS'!D23;'Recensement DPS'!F23;'Recensement DPS'!H23;'Recensement DPS'!J23;'Recensement DPS'!L23;'Recensement DPS'!N23},"&gt;0")</f>
        <v>0</v>
      </c>
      <c r="H23" s="17">
        <f>SUM('Recensement DPS'!B23,'Recensement DPS'!D23,'Recensement DPS'!F23,'Recensement DPS'!H23,'Recensement DPS'!J23,'Recensement DPS'!L23,'Recensement DPS'!N23)</f>
        <v>0</v>
      </c>
      <c r="I23" s="18" t="str">
        <f>'Recensement DPS'!C23</f>
        <v/>
      </c>
      <c r="J23" s="18" t="str">
        <f>'Recensement DPS'!E23</f>
        <v/>
      </c>
      <c r="K23" s="18" t="str">
        <f>'Recensement DPS'!G23</f>
        <v/>
      </c>
      <c r="L23" s="18" t="str">
        <f>'Recensement DPS'!I23</f>
        <v/>
      </c>
      <c r="M23" s="18" t="str">
        <f>'Recensement DPS'!K23</f>
        <v/>
      </c>
      <c r="N23" s="18" t="str">
        <f>'Recensement DPS'!M23</f>
        <v/>
      </c>
      <c r="O23" s="18" t="str">
        <f>'Recensement DPS'!O23</f>
        <v/>
      </c>
      <c r="P23" s="24" t="str">
        <f>'Recensement DPS'!A5</f>
        <v>Aion</v>
      </c>
      <c r="Q23" s="24" t="str">
        <f>IFERROR(__xludf.DUMMYFUNCTION("IFERROR(INDEX(SPLIT(IF(REGEXMATCH(SWITCH($B$13,""Feu"",'Recensement DPS'!C5,""Glace"",'Recensement DPS'!E5,""Vent"",'Recensement DPS'!G5,""Terre"",'Recensement DPS'!I5,""Lumière"",'Recensement DPS'!K5,""Ténèbres"",'Recensement DPS'!M5,""Foudre"",'Recensem"&amp;"ent DPS'!O5),""/""),SWITCH($B$13,""Feu"",'Recensement DPS'!C5,""Glace"",'Recensement DPS'!E5,""Vent"",'Recensement DPS'!G5,""Terre"",'Recensement DPS'!I5,""Lumière"",'Recensement DPS'!K5,""Ténèbres"",'Recensement DPS'!M5,""Foudre"",'Recensement DPS'!O5),R"&amp;"EGEXREPLACE(SWITCH($B$13,""Feu"",'Recensement DPS'!C5,""Glace"",'Recensement DPS'!E5,""Vent"",'Recensement DPS'!G5,""Terre"",'Recensement DPS'!I5,""Lumière"",'Recensement DPS'!K5,""Ténèbres"",'Recensement DPS'!M5,""Foudre"",'Recensement DPS'!O5),""(?i)(P["&amp;"0-9]+)\s+"",""$1 / "")),"" / "",FALSE,TRUE),1,4),"""")"),"")</f>
        <v/>
      </c>
      <c r="R23" s="24" t="str">
        <f>IFERROR(__xludf.DUMMYFUNCTION("IF(Q23="""","""",IFERROR(VALUE(REGEXEXTRACT(Q23,""(?i)P\s*([0-9]+)"")),""""))"),"")</f>
        <v/>
      </c>
    </row>
    <row r="24" ht="25.5" customHeight="1">
      <c r="A24" s="17" t="str">
        <f t="shared" si="1"/>
        <v/>
      </c>
      <c r="B24" s="23"/>
      <c r="C24" s="23"/>
      <c r="D24" s="23"/>
      <c r="F24" s="12" t="s">
        <v>59</v>
      </c>
      <c r="G24" s="14">
        <f t="array" ref="G24">COUNTIF({'Recensement DPS'!B24;'Recensement DPS'!D24;'Recensement DPS'!F24;'Recensement DPS'!H24;'Recensement DPS'!J24;'Recensement DPS'!L24;'Recensement DPS'!N24},"&gt;0")</f>
        <v>0</v>
      </c>
      <c r="H24" s="14">
        <f>SUM('Recensement DPS'!B24,'Recensement DPS'!D24,'Recensement DPS'!F24,'Recensement DPS'!H24,'Recensement DPS'!J24,'Recensement DPS'!L24,'Recensement DPS'!N24)</f>
        <v>0</v>
      </c>
      <c r="I24" s="15" t="str">
        <f>'Recensement DPS'!C24</f>
        <v/>
      </c>
      <c r="J24" s="15" t="str">
        <f>'Recensement DPS'!E24</f>
        <v/>
      </c>
      <c r="K24" s="15" t="str">
        <f>'Recensement DPS'!G24</f>
        <v/>
      </c>
      <c r="L24" s="15" t="str">
        <f>'Recensement DPS'!I24</f>
        <v/>
      </c>
      <c r="M24" s="15" t="str">
        <f>'Recensement DPS'!K24</f>
        <v/>
      </c>
      <c r="N24" s="15" t="str">
        <f>'Recensement DPS'!M24</f>
        <v/>
      </c>
      <c r="O24" s="15" t="str">
        <f>'Recensement DPS'!O24</f>
        <v/>
      </c>
      <c r="P24" s="24" t="str">
        <f>'Recensement DPS'!A5</f>
        <v>Aion</v>
      </c>
      <c r="Q24" s="24" t="str">
        <f>IFERROR(__xludf.DUMMYFUNCTION("IFERROR(INDEX(SPLIT(IF(REGEXMATCH(SWITCH($B$13,""Feu"",'Recensement DPS'!C5,""Glace"",'Recensement DPS'!E5,""Vent"",'Recensement DPS'!G5,""Terre"",'Recensement DPS'!I5,""Lumière"",'Recensement DPS'!K5,""Ténèbres"",'Recensement DPS'!M5,""Foudre"",'Recensem"&amp;"ent DPS'!O5),""/""),SWITCH($B$13,""Feu"",'Recensement DPS'!C5,""Glace"",'Recensement DPS'!E5,""Vent"",'Recensement DPS'!G5,""Terre"",'Recensement DPS'!I5,""Lumière"",'Recensement DPS'!K5,""Ténèbres"",'Recensement DPS'!M5,""Foudre"",'Recensement DPS'!O5),R"&amp;"EGEXREPLACE(SWITCH($B$13,""Feu"",'Recensement DPS'!C5,""Glace"",'Recensement DPS'!E5,""Vent"",'Recensement DPS'!G5,""Terre"",'Recensement DPS'!I5,""Lumière"",'Recensement DPS'!K5,""Ténèbres"",'Recensement DPS'!M5,""Foudre"",'Recensement DPS'!O5),""(?i)(P["&amp;"0-9]+)\s+"",""$1 / "")),"" / "",FALSE,TRUE),1,5),"""")"),"")</f>
        <v/>
      </c>
      <c r="R24" s="24" t="str">
        <f>IFERROR(__xludf.DUMMYFUNCTION("IF(Q24="""","""",IFERROR(VALUE(REGEXEXTRACT(Q24,""(?i)P\s*([0-9]+)"")),""""))"),"")</f>
        <v/>
      </c>
    </row>
    <row r="25" ht="25.5" customHeight="1">
      <c r="A25" s="14" t="str">
        <f t="shared" si="1"/>
        <v/>
      </c>
      <c r="B25" s="23"/>
      <c r="C25" s="23"/>
      <c r="D25" s="23"/>
      <c r="P25" s="24" t="str">
        <f>'Recensement DPS'!A6</f>
        <v>AiRoX7</v>
      </c>
      <c r="Q25" s="24" t="str">
        <f>IFERROR(__xludf.DUMMYFUNCTION("IFERROR(INDEX(SPLIT(IF(REGEXMATCH(SWITCH($B$13,""Feu"",'Recensement DPS'!C6,""Glace"",'Recensement DPS'!E6,""Vent"",'Recensement DPS'!G6,""Terre"",'Recensement DPS'!I6,""Lumière"",'Recensement DPS'!K6,""Ténèbres"",'Recensement DPS'!M6,""Foudre"",'Recensem"&amp;"ent DPS'!O6),""/""),SWITCH($B$13,""Feu"",'Recensement DPS'!C6,""Glace"",'Recensement DPS'!E6,""Vent"",'Recensement DPS'!G6,""Terre"",'Recensement DPS'!I6,""Lumière"",'Recensement DPS'!K6,""Ténèbres"",'Recensement DPS'!M6,""Foudre"",'Recensement DPS'!O6),R"&amp;"EGEXREPLACE(SWITCH($B$13,""Feu"",'Recensement DPS'!C6,""Glace"",'Recensement DPS'!E6,""Vent"",'Recensement DPS'!G6,""Terre"",'Recensement DPS'!I6,""Lumière"",'Recensement DPS'!K6,""Ténèbres"",'Recensement DPS'!M6,""Foudre"",'Recensement DPS'!O6),""(?i)(P["&amp;"0-9]+)\s+"",""$1 / "")),"" / "",FALSE,TRUE),1,1),"""")"),"")</f>
        <v/>
      </c>
      <c r="R25" s="24" t="str">
        <f>IFERROR(__xludf.DUMMYFUNCTION("IF(Q25="""","""",IFERROR(VALUE(REGEXEXTRACT(Q25,""(?i)P\s*([0-9]+)"")),""""))"),"")</f>
        <v/>
      </c>
    </row>
    <row r="26" ht="25.5" customHeight="1">
      <c r="A26" s="17" t="str">
        <f t="shared" si="1"/>
        <v/>
      </c>
      <c r="B26" s="23"/>
      <c r="C26" s="23"/>
      <c r="D26" s="23"/>
      <c r="P26" s="24" t="str">
        <f>'Recensement DPS'!A6</f>
        <v>AiRoX7</v>
      </c>
      <c r="Q26" s="24" t="str">
        <f>IFERROR(__xludf.DUMMYFUNCTION("IFERROR(INDEX(SPLIT(IF(REGEXMATCH(SWITCH($B$13,""Feu"",'Recensement DPS'!C6,""Glace"",'Recensement DPS'!E6,""Vent"",'Recensement DPS'!G6,""Terre"",'Recensement DPS'!I6,""Lumière"",'Recensement DPS'!K6,""Ténèbres"",'Recensement DPS'!M6,""Foudre"",'Recensem"&amp;"ent DPS'!O6),""/""),SWITCH($B$13,""Feu"",'Recensement DPS'!C6,""Glace"",'Recensement DPS'!E6,""Vent"",'Recensement DPS'!G6,""Terre"",'Recensement DPS'!I6,""Lumière"",'Recensement DPS'!K6,""Ténèbres"",'Recensement DPS'!M6,""Foudre"",'Recensement DPS'!O6),R"&amp;"EGEXREPLACE(SWITCH($B$13,""Feu"",'Recensement DPS'!C6,""Glace"",'Recensement DPS'!E6,""Vent"",'Recensement DPS'!G6,""Terre"",'Recensement DPS'!I6,""Lumière"",'Recensement DPS'!K6,""Ténèbres"",'Recensement DPS'!M6,""Foudre"",'Recensement DPS'!O6),""(?i)(P["&amp;"0-9]+)\s+"",""$1 / "")),"" / "",FALSE,TRUE),1,2),"""")"),"")</f>
        <v/>
      </c>
      <c r="R26" s="24" t="str">
        <f>IFERROR(__xludf.DUMMYFUNCTION("IF(Q26="""","""",IFERROR(VALUE(REGEXEXTRACT(Q26,""(?i)P\s*([0-9]+)"")),""""))"),"")</f>
        <v/>
      </c>
    </row>
    <row r="27" ht="25.5" customHeight="1">
      <c r="A27" s="14" t="str">
        <f t="shared" si="1"/>
        <v/>
      </c>
      <c r="B27" s="23"/>
      <c r="C27" s="23"/>
      <c r="D27" s="23"/>
      <c r="P27" s="24" t="str">
        <f>'Recensement DPS'!A6</f>
        <v>AiRoX7</v>
      </c>
      <c r="Q27" s="24" t="str">
        <f>IFERROR(__xludf.DUMMYFUNCTION("IFERROR(INDEX(SPLIT(IF(REGEXMATCH(SWITCH($B$13,""Feu"",'Recensement DPS'!C6,""Glace"",'Recensement DPS'!E6,""Vent"",'Recensement DPS'!G6,""Terre"",'Recensement DPS'!I6,""Lumière"",'Recensement DPS'!K6,""Ténèbres"",'Recensement DPS'!M6,""Foudre"",'Recensem"&amp;"ent DPS'!O6),""/""),SWITCH($B$13,""Feu"",'Recensement DPS'!C6,""Glace"",'Recensement DPS'!E6,""Vent"",'Recensement DPS'!G6,""Terre"",'Recensement DPS'!I6,""Lumière"",'Recensement DPS'!K6,""Ténèbres"",'Recensement DPS'!M6,""Foudre"",'Recensement DPS'!O6),R"&amp;"EGEXREPLACE(SWITCH($B$13,""Feu"",'Recensement DPS'!C6,""Glace"",'Recensement DPS'!E6,""Vent"",'Recensement DPS'!G6,""Terre"",'Recensement DPS'!I6,""Lumière"",'Recensement DPS'!K6,""Ténèbres"",'Recensement DPS'!M6,""Foudre"",'Recensement DPS'!O6),""(?i)(P["&amp;"0-9]+)\s+"",""$1 / "")),"" / "",FALSE,TRUE),1,3),"""")"),"")</f>
        <v/>
      </c>
      <c r="R27" s="24" t="str">
        <f>IFERROR(__xludf.DUMMYFUNCTION("IF(Q27="""","""",IFERROR(VALUE(REGEXEXTRACT(Q27,""(?i)P\s*([0-9]+)"")),""""))"),"")</f>
        <v/>
      </c>
    </row>
    <row r="28" ht="25.5" customHeight="1">
      <c r="A28" s="17" t="str">
        <f t="shared" si="1"/>
        <v/>
      </c>
      <c r="B28" s="23"/>
      <c r="C28" s="23"/>
      <c r="D28" s="23"/>
      <c r="P28" s="24" t="str">
        <f>'Recensement DPS'!A6</f>
        <v>AiRoX7</v>
      </c>
      <c r="Q28" s="24" t="str">
        <f>IFERROR(__xludf.DUMMYFUNCTION("IFERROR(INDEX(SPLIT(IF(REGEXMATCH(SWITCH($B$13,""Feu"",'Recensement DPS'!C6,""Glace"",'Recensement DPS'!E6,""Vent"",'Recensement DPS'!G6,""Terre"",'Recensement DPS'!I6,""Lumière"",'Recensement DPS'!K6,""Ténèbres"",'Recensement DPS'!M6,""Foudre"",'Recensem"&amp;"ent DPS'!O6),""/""),SWITCH($B$13,""Feu"",'Recensement DPS'!C6,""Glace"",'Recensement DPS'!E6,""Vent"",'Recensement DPS'!G6,""Terre"",'Recensement DPS'!I6,""Lumière"",'Recensement DPS'!K6,""Ténèbres"",'Recensement DPS'!M6,""Foudre"",'Recensement DPS'!O6),R"&amp;"EGEXREPLACE(SWITCH($B$13,""Feu"",'Recensement DPS'!C6,""Glace"",'Recensement DPS'!E6,""Vent"",'Recensement DPS'!G6,""Terre"",'Recensement DPS'!I6,""Lumière"",'Recensement DPS'!K6,""Ténèbres"",'Recensement DPS'!M6,""Foudre"",'Recensement DPS'!O6),""(?i)(P["&amp;"0-9]+)\s+"",""$1 / "")),"" / "",FALSE,TRUE),1,4),"""")"),"")</f>
        <v/>
      </c>
      <c r="R28" s="24" t="str">
        <f>IFERROR(__xludf.DUMMYFUNCTION("IF(Q28="""","""",IFERROR(VALUE(REGEXEXTRACT(Q28,""(?i)P\s*([0-9]+)"")),""""))"),"")</f>
        <v/>
      </c>
    </row>
    <row r="29" ht="25.5" customHeight="1">
      <c r="A29" s="14" t="str">
        <f t="shared" si="1"/>
        <v/>
      </c>
      <c r="B29" s="23"/>
      <c r="C29" s="23"/>
      <c r="D29" s="23"/>
      <c r="P29" s="24" t="str">
        <f>'Recensement DPS'!A6</f>
        <v>AiRoX7</v>
      </c>
      <c r="Q29" s="24" t="str">
        <f>IFERROR(__xludf.DUMMYFUNCTION("IFERROR(INDEX(SPLIT(IF(REGEXMATCH(SWITCH($B$13,""Feu"",'Recensement DPS'!C6,""Glace"",'Recensement DPS'!E6,""Vent"",'Recensement DPS'!G6,""Terre"",'Recensement DPS'!I6,""Lumière"",'Recensement DPS'!K6,""Ténèbres"",'Recensement DPS'!M6,""Foudre"",'Recensem"&amp;"ent DPS'!O6),""/""),SWITCH($B$13,""Feu"",'Recensement DPS'!C6,""Glace"",'Recensement DPS'!E6,""Vent"",'Recensement DPS'!G6,""Terre"",'Recensement DPS'!I6,""Lumière"",'Recensement DPS'!K6,""Ténèbres"",'Recensement DPS'!M6,""Foudre"",'Recensement DPS'!O6),R"&amp;"EGEXREPLACE(SWITCH($B$13,""Feu"",'Recensement DPS'!C6,""Glace"",'Recensement DPS'!E6,""Vent"",'Recensement DPS'!G6,""Terre"",'Recensement DPS'!I6,""Lumière"",'Recensement DPS'!K6,""Ténèbres"",'Recensement DPS'!M6,""Foudre"",'Recensement DPS'!O6),""(?i)(P["&amp;"0-9]+)\s+"",""$1 / "")),"" / "",FALSE,TRUE),1,5),"""")"),"")</f>
        <v/>
      </c>
      <c r="R29" s="24" t="str">
        <f>IFERROR(__xludf.DUMMYFUNCTION("IF(Q29="""","""",IFERROR(VALUE(REGEXEXTRACT(Q29,""(?i)P\s*([0-9]+)"")),""""))"),"")</f>
        <v/>
      </c>
    </row>
    <row r="30" ht="25.5" customHeight="1">
      <c r="A30" s="17" t="str">
        <f t="shared" si="1"/>
        <v/>
      </c>
      <c r="B30" s="23"/>
      <c r="C30" s="23"/>
      <c r="D30" s="23"/>
      <c r="P30" s="24" t="str">
        <f>'Recensement DPS'!A7</f>
        <v>Altor</v>
      </c>
      <c r="Q30" s="24" t="str">
        <f>IFERROR(__xludf.DUMMYFUNCTION("IFERROR(INDEX(SPLIT(IF(REGEXMATCH(SWITCH($B$13,""Feu"",'Recensement DPS'!C7,""Glace"",'Recensement DPS'!E7,""Vent"",'Recensement DPS'!G7,""Terre"",'Recensement DPS'!I7,""Lumière"",'Recensement DPS'!K7,""Ténèbres"",'Recensement DPS'!M7,""Foudre"",'Recensem"&amp;"ent DPS'!O7),""/""),SWITCH($B$13,""Feu"",'Recensement DPS'!C7,""Glace"",'Recensement DPS'!E7,""Vent"",'Recensement DPS'!G7,""Terre"",'Recensement DPS'!I7,""Lumière"",'Recensement DPS'!K7,""Ténèbres"",'Recensement DPS'!M7,""Foudre"",'Recensement DPS'!O7),R"&amp;"EGEXREPLACE(SWITCH($B$13,""Feu"",'Recensement DPS'!C7,""Glace"",'Recensement DPS'!E7,""Vent"",'Recensement DPS'!G7,""Terre"",'Recensement DPS'!I7,""Lumière"",'Recensement DPS'!K7,""Ténèbres"",'Recensement DPS'!M7,""Foudre"",'Recensement DPS'!O7),""(?i)(P["&amp;"0-9]+)\s+"",""$1 / "")),"" / "",FALSE,TRUE),1,1),"""")"),"")</f>
        <v/>
      </c>
      <c r="R30" s="24" t="str">
        <f>IFERROR(__xludf.DUMMYFUNCTION("IF(Q30="""","""",IFERROR(VALUE(REGEXEXTRACT(Q30,""(?i)P\s*([0-9]+)"")),""""))"),"")</f>
        <v/>
      </c>
    </row>
    <row r="31" ht="25.5" customHeight="1">
      <c r="A31" s="14" t="str">
        <f t="shared" si="1"/>
        <v/>
      </c>
      <c r="B31" s="23"/>
      <c r="C31" s="23"/>
      <c r="D31" s="23"/>
      <c r="P31" s="24" t="str">
        <f>'Recensement DPS'!A7</f>
        <v>Altor</v>
      </c>
      <c r="Q31" s="24" t="str">
        <f>IFERROR(__xludf.DUMMYFUNCTION("IFERROR(INDEX(SPLIT(IF(REGEXMATCH(SWITCH($B$13,""Feu"",'Recensement DPS'!C7,""Glace"",'Recensement DPS'!E7,""Vent"",'Recensement DPS'!G7,""Terre"",'Recensement DPS'!I7,""Lumière"",'Recensement DPS'!K7,""Ténèbres"",'Recensement DPS'!M7,""Foudre"",'Recensem"&amp;"ent DPS'!O7),""/""),SWITCH($B$13,""Feu"",'Recensement DPS'!C7,""Glace"",'Recensement DPS'!E7,""Vent"",'Recensement DPS'!G7,""Terre"",'Recensement DPS'!I7,""Lumière"",'Recensement DPS'!K7,""Ténèbres"",'Recensement DPS'!M7,""Foudre"",'Recensement DPS'!O7),R"&amp;"EGEXREPLACE(SWITCH($B$13,""Feu"",'Recensement DPS'!C7,""Glace"",'Recensement DPS'!E7,""Vent"",'Recensement DPS'!G7,""Terre"",'Recensement DPS'!I7,""Lumière"",'Recensement DPS'!K7,""Ténèbres"",'Recensement DPS'!M7,""Foudre"",'Recensement DPS'!O7),""(?i)(P["&amp;"0-9]+)\s+"",""$1 / "")),"" / "",FALSE,TRUE),1,2),"""")"),"")</f>
        <v/>
      </c>
      <c r="R31" s="24" t="str">
        <f>IFERROR(__xludf.DUMMYFUNCTION("IF(Q31="""","""",IFERROR(VALUE(REGEXEXTRACT(Q31,""(?i)P\s*([0-9]+)"")),""""))"),"")</f>
        <v/>
      </c>
    </row>
    <row r="32" ht="25.5" customHeight="1">
      <c r="A32" s="17" t="str">
        <f t="shared" si="1"/>
        <v/>
      </c>
      <c r="B32" s="23"/>
      <c r="C32" s="23"/>
      <c r="D32" s="23"/>
      <c r="P32" s="24" t="str">
        <f>'Recensement DPS'!A7</f>
        <v>Altor</v>
      </c>
      <c r="Q32" s="24" t="str">
        <f>IFERROR(__xludf.DUMMYFUNCTION("IFERROR(INDEX(SPLIT(IF(REGEXMATCH(SWITCH($B$13,""Feu"",'Recensement DPS'!C7,""Glace"",'Recensement DPS'!E7,""Vent"",'Recensement DPS'!G7,""Terre"",'Recensement DPS'!I7,""Lumière"",'Recensement DPS'!K7,""Ténèbres"",'Recensement DPS'!M7,""Foudre"",'Recensem"&amp;"ent DPS'!O7),""/""),SWITCH($B$13,""Feu"",'Recensement DPS'!C7,""Glace"",'Recensement DPS'!E7,""Vent"",'Recensement DPS'!G7,""Terre"",'Recensement DPS'!I7,""Lumière"",'Recensement DPS'!K7,""Ténèbres"",'Recensement DPS'!M7,""Foudre"",'Recensement DPS'!O7),R"&amp;"EGEXREPLACE(SWITCH($B$13,""Feu"",'Recensement DPS'!C7,""Glace"",'Recensement DPS'!E7,""Vent"",'Recensement DPS'!G7,""Terre"",'Recensement DPS'!I7,""Lumière"",'Recensement DPS'!K7,""Ténèbres"",'Recensement DPS'!M7,""Foudre"",'Recensement DPS'!O7),""(?i)(P["&amp;"0-9]+)\s+"",""$1 / "")),"" / "",FALSE,TRUE),1,3),"""")"),"")</f>
        <v/>
      </c>
      <c r="R32" s="24" t="str">
        <f>IFERROR(__xludf.DUMMYFUNCTION("IF(Q32="""","""",IFERROR(VALUE(REGEXEXTRACT(Q32,""(?i)P\s*([0-9]+)"")),""""))"),"")</f>
        <v/>
      </c>
    </row>
    <row r="33" ht="25.5" customHeight="1">
      <c r="A33" s="14" t="str">
        <f t="shared" si="1"/>
        <v/>
      </c>
      <c r="B33" s="23"/>
      <c r="C33" s="23"/>
      <c r="D33" s="23"/>
      <c r="P33" s="24" t="str">
        <f>'Recensement DPS'!A7</f>
        <v>Altor</v>
      </c>
      <c r="Q33" s="24" t="str">
        <f>IFERROR(__xludf.DUMMYFUNCTION("IFERROR(INDEX(SPLIT(IF(REGEXMATCH(SWITCH($B$13,""Feu"",'Recensement DPS'!C7,""Glace"",'Recensement DPS'!E7,""Vent"",'Recensement DPS'!G7,""Terre"",'Recensement DPS'!I7,""Lumière"",'Recensement DPS'!K7,""Ténèbres"",'Recensement DPS'!M7,""Foudre"",'Recensem"&amp;"ent DPS'!O7),""/""),SWITCH($B$13,""Feu"",'Recensement DPS'!C7,""Glace"",'Recensement DPS'!E7,""Vent"",'Recensement DPS'!G7,""Terre"",'Recensement DPS'!I7,""Lumière"",'Recensement DPS'!K7,""Ténèbres"",'Recensement DPS'!M7,""Foudre"",'Recensement DPS'!O7),R"&amp;"EGEXREPLACE(SWITCH($B$13,""Feu"",'Recensement DPS'!C7,""Glace"",'Recensement DPS'!E7,""Vent"",'Recensement DPS'!G7,""Terre"",'Recensement DPS'!I7,""Lumière"",'Recensement DPS'!K7,""Ténèbres"",'Recensement DPS'!M7,""Foudre"",'Recensement DPS'!O7),""(?i)(P["&amp;"0-9]+)\s+"",""$1 / "")),"" / "",FALSE,TRUE),1,4),"""")"),"")</f>
        <v/>
      </c>
      <c r="R33" s="24" t="str">
        <f>IFERROR(__xludf.DUMMYFUNCTION("IF(Q33="""","""",IFERROR(VALUE(REGEXEXTRACT(Q33,""(?i)P\s*([0-9]+)"")),""""))"),"")</f>
        <v/>
      </c>
    </row>
    <row r="34" ht="15.75" customHeight="1">
      <c r="A34" s="17" t="str">
        <f t="shared" si="1"/>
        <v/>
      </c>
      <c r="B34" s="23"/>
      <c r="C34" s="23"/>
      <c r="D34" s="23"/>
      <c r="P34" s="24" t="str">
        <f>'Recensement DPS'!A7</f>
        <v>Altor</v>
      </c>
      <c r="Q34" s="24" t="str">
        <f>IFERROR(__xludf.DUMMYFUNCTION("IFERROR(INDEX(SPLIT(IF(REGEXMATCH(SWITCH($B$13,""Feu"",'Recensement DPS'!C7,""Glace"",'Recensement DPS'!E7,""Vent"",'Recensement DPS'!G7,""Terre"",'Recensement DPS'!I7,""Lumière"",'Recensement DPS'!K7,""Ténèbres"",'Recensement DPS'!M7,""Foudre"",'Recensem"&amp;"ent DPS'!O7),""/""),SWITCH($B$13,""Feu"",'Recensement DPS'!C7,""Glace"",'Recensement DPS'!E7,""Vent"",'Recensement DPS'!G7,""Terre"",'Recensement DPS'!I7,""Lumière"",'Recensement DPS'!K7,""Ténèbres"",'Recensement DPS'!M7,""Foudre"",'Recensement DPS'!O7),R"&amp;"EGEXREPLACE(SWITCH($B$13,""Feu"",'Recensement DPS'!C7,""Glace"",'Recensement DPS'!E7,""Vent"",'Recensement DPS'!G7,""Terre"",'Recensement DPS'!I7,""Lumière"",'Recensement DPS'!K7,""Ténèbres"",'Recensement DPS'!M7,""Foudre"",'Recensement DPS'!O7),""(?i)(P["&amp;"0-9]+)\s+"",""$1 / "")),"" / "",FALSE,TRUE),1,5),"""")"),"")</f>
        <v/>
      </c>
      <c r="R34" s="24" t="str">
        <f>IFERROR(__xludf.DUMMYFUNCTION("IF(Q34="""","""",IFERROR(VALUE(REGEXEXTRACT(Q34,""(?i)P\s*([0-9]+)"")),""""))"),"")</f>
        <v/>
      </c>
    </row>
    <row r="35" ht="15.75" customHeight="1">
      <c r="A35" s="14" t="str">
        <f t="shared" si="1"/>
        <v/>
      </c>
      <c r="B35" s="23"/>
      <c r="C35" s="23"/>
      <c r="D35" s="23"/>
      <c r="P35" s="24" t="str">
        <f>'Recensement DPS'!A8</f>
        <v>Anto53</v>
      </c>
      <c r="Q35" s="24" t="str">
        <f>IFERROR(__xludf.DUMMYFUNCTION("IFERROR(INDEX(SPLIT(IF(REGEXMATCH(SWITCH($B$13,""Feu"",'Recensement DPS'!C8,""Glace"",'Recensement DPS'!E8,""Vent"",'Recensement DPS'!G8,""Terre"",'Recensement DPS'!I8,""Lumière"",'Recensement DPS'!K8,""Ténèbres"",'Recensement DPS'!M8,""Foudre"",'Recensem"&amp;"ent DPS'!O8),""/""),SWITCH($B$13,""Feu"",'Recensement DPS'!C8,""Glace"",'Recensement DPS'!E8,""Vent"",'Recensement DPS'!G8,""Terre"",'Recensement DPS'!I8,""Lumière"",'Recensement DPS'!K8,""Ténèbres"",'Recensement DPS'!M8,""Foudre"",'Recensement DPS'!O8),R"&amp;"EGEXREPLACE(SWITCH($B$13,""Feu"",'Recensement DPS'!C8,""Glace"",'Recensement DPS'!E8,""Vent"",'Recensement DPS'!G8,""Terre"",'Recensement DPS'!I8,""Lumière"",'Recensement DPS'!K8,""Ténèbres"",'Recensement DPS'!M8,""Foudre"",'Recensement DPS'!O8),""(?i)(P["&amp;"0-9]+)\s+"",""$1 / "")),"" / "",FALSE,TRUE),1,1),"""")"),"")</f>
        <v/>
      </c>
      <c r="R35" s="24" t="str">
        <f>IFERROR(__xludf.DUMMYFUNCTION("IF(Q35="""","""",IFERROR(VALUE(REGEXEXTRACT(Q35,""(?i)P\s*([0-9]+)"")),""""))"),"")</f>
        <v/>
      </c>
    </row>
    <row r="36" ht="15.75" customHeight="1">
      <c r="A36" s="17" t="str">
        <f t="shared" si="1"/>
        <v/>
      </c>
      <c r="B36" s="23"/>
      <c r="C36" s="23"/>
      <c r="D36" s="23"/>
      <c r="P36" s="24" t="str">
        <f>'Recensement DPS'!A8</f>
        <v>Anto53</v>
      </c>
      <c r="Q36" s="24" t="str">
        <f>IFERROR(__xludf.DUMMYFUNCTION("IFERROR(INDEX(SPLIT(IF(REGEXMATCH(SWITCH($B$13,""Feu"",'Recensement DPS'!C8,""Glace"",'Recensement DPS'!E8,""Vent"",'Recensement DPS'!G8,""Terre"",'Recensement DPS'!I8,""Lumière"",'Recensement DPS'!K8,""Ténèbres"",'Recensement DPS'!M8,""Foudre"",'Recensem"&amp;"ent DPS'!O8),""/""),SWITCH($B$13,""Feu"",'Recensement DPS'!C8,""Glace"",'Recensement DPS'!E8,""Vent"",'Recensement DPS'!G8,""Terre"",'Recensement DPS'!I8,""Lumière"",'Recensement DPS'!K8,""Ténèbres"",'Recensement DPS'!M8,""Foudre"",'Recensement DPS'!O8),R"&amp;"EGEXREPLACE(SWITCH($B$13,""Feu"",'Recensement DPS'!C8,""Glace"",'Recensement DPS'!E8,""Vent"",'Recensement DPS'!G8,""Terre"",'Recensement DPS'!I8,""Lumière"",'Recensement DPS'!K8,""Ténèbres"",'Recensement DPS'!M8,""Foudre"",'Recensement DPS'!O8),""(?i)(P["&amp;"0-9]+)\s+"",""$1 / "")),"" / "",FALSE,TRUE),1,2),"""")"),"")</f>
        <v/>
      </c>
      <c r="R36" s="24" t="str">
        <f>IFERROR(__xludf.DUMMYFUNCTION("IF(Q36="""","""",IFERROR(VALUE(REGEXEXTRACT(Q36,""(?i)P\s*([0-9]+)"")),""""))"),"")</f>
        <v/>
      </c>
    </row>
    <row r="37" ht="15.75" customHeight="1">
      <c r="A37" s="14" t="str">
        <f t="shared" si="1"/>
        <v/>
      </c>
      <c r="B37" s="23"/>
      <c r="C37" s="23"/>
      <c r="D37" s="23"/>
      <c r="P37" s="24" t="str">
        <f>'Recensement DPS'!A8</f>
        <v>Anto53</v>
      </c>
      <c r="Q37" s="24" t="str">
        <f>IFERROR(__xludf.DUMMYFUNCTION("IFERROR(INDEX(SPLIT(IF(REGEXMATCH(SWITCH($B$13,""Feu"",'Recensement DPS'!C8,""Glace"",'Recensement DPS'!E8,""Vent"",'Recensement DPS'!G8,""Terre"",'Recensement DPS'!I8,""Lumière"",'Recensement DPS'!K8,""Ténèbres"",'Recensement DPS'!M8,""Foudre"",'Recensem"&amp;"ent DPS'!O8),""/""),SWITCH($B$13,""Feu"",'Recensement DPS'!C8,""Glace"",'Recensement DPS'!E8,""Vent"",'Recensement DPS'!G8,""Terre"",'Recensement DPS'!I8,""Lumière"",'Recensement DPS'!K8,""Ténèbres"",'Recensement DPS'!M8,""Foudre"",'Recensement DPS'!O8),R"&amp;"EGEXREPLACE(SWITCH($B$13,""Feu"",'Recensement DPS'!C8,""Glace"",'Recensement DPS'!E8,""Vent"",'Recensement DPS'!G8,""Terre"",'Recensement DPS'!I8,""Lumière"",'Recensement DPS'!K8,""Ténèbres"",'Recensement DPS'!M8,""Foudre"",'Recensement DPS'!O8),""(?i)(P["&amp;"0-9]+)\s+"",""$1 / "")),"" / "",FALSE,TRUE),1,3),"""")"),"")</f>
        <v/>
      </c>
      <c r="R37" s="24" t="str">
        <f>IFERROR(__xludf.DUMMYFUNCTION("IF(Q37="""","""",IFERROR(VALUE(REGEXEXTRACT(Q37,""(?i)P\s*([0-9]+)"")),""""))"),"")</f>
        <v/>
      </c>
    </row>
    <row r="38" ht="15.75" customHeight="1">
      <c r="A38" s="17" t="str">
        <f t="shared" si="1"/>
        <v/>
      </c>
      <c r="B38" s="23"/>
      <c r="C38" s="23"/>
      <c r="D38" s="23"/>
      <c r="P38" s="24" t="str">
        <f>'Recensement DPS'!A8</f>
        <v>Anto53</v>
      </c>
      <c r="Q38" s="24" t="str">
        <f>IFERROR(__xludf.DUMMYFUNCTION("IFERROR(INDEX(SPLIT(IF(REGEXMATCH(SWITCH($B$13,""Feu"",'Recensement DPS'!C8,""Glace"",'Recensement DPS'!E8,""Vent"",'Recensement DPS'!G8,""Terre"",'Recensement DPS'!I8,""Lumière"",'Recensement DPS'!K8,""Ténèbres"",'Recensement DPS'!M8,""Foudre"",'Recensem"&amp;"ent DPS'!O8),""/""),SWITCH($B$13,""Feu"",'Recensement DPS'!C8,""Glace"",'Recensement DPS'!E8,""Vent"",'Recensement DPS'!G8,""Terre"",'Recensement DPS'!I8,""Lumière"",'Recensement DPS'!K8,""Ténèbres"",'Recensement DPS'!M8,""Foudre"",'Recensement DPS'!O8),R"&amp;"EGEXREPLACE(SWITCH($B$13,""Feu"",'Recensement DPS'!C8,""Glace"",'Recensement DPS'!E8,""Vent"",'Recensement DPS'!G8,""Terre"",'Recensement DPS'!I8,""Lumière"",'Recensement DPS'!K8,""Ténèbres"",'Recensement DPS'!M8,""Foudre"",'Recensement DPS'!O8),""(?i)(P["&amp;"0-9]+)\s+"",""$1 / "")),"" / "",FALSE,TRUE),1,4),"""")"),"")</f>
        <v/>
      </c>
      <c r="R38" s="24" t="str">
        <f>IFERROR(__xludf.DUMMYFUNCTION("IF(Q38="""","""",IFERROR(VALUE(REGEXEXTRACT(Q38,""(?i)P\s*([0-9]+)"")),""""))"),"")</f>
        <v/>
      </c>
    </row>
    <row r="39" ht="15.75" customHeight="1">
      <c r="A39" s="14" t="str">
        <f t="shared" si="1"/>
        <v/>
      </c>
      <c r="B39" s="23"/>
      <c r="C39" s="23"/>
      <c r="D39" s="23"/>
      <c r="P39" s="24" t="str">
        <f>'Recensement DPS'!A8</f>
        <v>Anto53</v>
      </c>
      <c r="Q39" s="24" t="str">
        <f>IFERROR(__xludf.DUMMYFUNCTION("IFERROR(INDEX(SPLIT(IF(REGEXMATCH(SWITCH($B$13,""Feu"",'Recensement DPS'!C8,""Glace"",'Recensement DPS'!E8,""Vent"",'Recensement DPS'!G8,""Terre"",'Recensement DPS'!I8,""Lumière"",'Recensement DPS'!K8,""Ténèbres"",'Recensement DPS'!M8,""Foudre"",'Recensem"&amp;"ent DPS'!O8),""/""),SWITCH($B$13,""Feu"",'Recensement DPS'!C8,""Glace"",'Recensement DPS'!E8,""Vent"",'Recensement DPS'!G8,""Terre"",'Recensement DPS'!I8,""Lumière"",'Recensement DPS'!K8,""Ténèbres"",'Recensement DPS'!M8,""Foudre"",'Recensement DPS'!O8),R"&amp;"EGEXREPLACE(SWITCH($B$13,""Feu"",'Recensement DPS'!C8,""Glace"",'Recensement DPS'!E8,""Vent"",'Recensement DPS'!G8,""Terre"",'Recensement DPS'!I8,""Lumière"",'Recensement DPS'!K8,""Ténèbres"",'Recensement DPS'!M8,""Foudre"",'Recensement DPS'!O8),""(?i)(P["&amp;"0-9]+)\s+"",""$1 / "")),"" / "",FALSE,TRUE),1,5),"""")"),"")</f>
        <v/>
      </c>
      <c r="R39" s="24" t="str">
        <f>IFERROR(__xludf.DUMMYFUNCTION("IF(Q39="""","""",IFERROR(VALUE(REGEXEXTRACT(Q39,""(?i)P\s*([0-9]+)"")),""""))"),"")</f>
        <v/>
      </c>
    </row>
    <row r="40" ht="15.75" customHeight="1">
      <c r="A40" s="17" t="str">
        <f t="shared" si="1"/>
        <v/>
      </c>
      <c r="B40" s="23"/>
      <c r="C40" s="23"/>
      <c r="D40" s="23"/>
      <c r="P40" s="24" t="str">
        <f>'Recensement DPS'!A9</f>
        <v>BarracudaGN</v>
      </c>
      <c r="Q40" s="24" t="str">
        <f>IFERROR(__xludf.DUMMYFUNCTION("IFERROR(INDEX(SPLIT(IF(REGEXMATCH(SWITCH($B$13,""Feu"",'Recensement DPS'!C9,""Glace"",'Recensement DPS'!E9,""Vent"",'Recensement DPS'!G9,""Terre"",'Recensement DPS'!I9,""Lumière"",'Recensement DPS'!K9,""Ténèbres"",'Recensement DPS'!M9,""Foudre"",'Recensem"&amp;"ent DPS'!O9),""/""),SWITCH($B$13,""Feu"",'Recensement DPS'!C9,""Glace"",'Recensement DPS'!E9,""Vent"",'Recensement DPS'!G9,""Terre"",'Recensement DPS'!I9,""Lumière"",'Recensement DPS'!K9,""Ténèbres"",'Recensement DPS'!M9,""Foudre"",'Recensement DPS'!O9),R"&amp;"EGEXREPLACE(SWITCH($B$13,""Feu"",'Recensement DPS'!C9,""Glace"",'Recensement DPS'!E9,""Vent"",'Recensement DPS'!G9,""Terre"",'Recensement DPS'!I9,""Lumière"",'Recensement DPS'!K9,""Ténèbres"",'Recensement DPS'!M9,""Foudre"",'Recensement DPS'!O9),""(?i)(P["&amp;"0-9]+)\s+"",""$1 / "")),"" / "",FALSE,TRUE),1,1),"""")"),"")</f>
        <v/>
      </c>
      <c r="R40" s="24" t="str">
        <f>IFERROR(__xludf.DUMMYFUNCTION("IF(Q40="""","""",IFERROR(VALUE(REGEXEXTRACT(Q40,""(?i)P\s*([0-9]+)"")),""""))"),"")</f>
        <v/>
      </c>
    </row>
    <row r="41" ht="15.75" customHeight="1">
      <c r="A41" s="14" t="str">
        <f t="shared" si="1"/>
        <v/>
      </c>
      <c r="B41" s="23"/>
      <c r="C41" s="23"/>
      <c r="D41" s="23"/>
      <c r="P41" s="24" t="str">
        <f>'Recensement DPS'!A9</f>
        <v>BarracudaGN</v>
      </c>
      <c r="Q41" s="24" t="str">
        <f>IFERROR(__xludf.DUMMYFUNCTION("IFERROR(INDEX(SPLIT(IF(REGEXMATCH(SWITCH($B$13,""Feu"",'Recensement DPS'!C9,""Glace"",'Recensement DPS'!E9,""Vent"",'Recensement DPS'!G9,""Terre"",'Recensement DPS'!I9,""Lumière"",'Recensement DPS'!K9,""Ténèbres"",'Recensement DPS'!M9,""Foudre"",'Recensem"&amp;"ent DPS'!O9),""/""),SWITCH($B$13,""Feu"",'Recensement DPS'!C9,""Glace"",'Recensement DPS'!E9,""Vent"",'Recensement DPS'!G9,""Terre"",'Recensement DPS'!I9,""Lumière"",'Recensement DPS'!K9,""Ténèbres"",'Recensement DPS'!M9,""Foudre"",'Recensement DPS'!O9),R"&amp;"EGEXREPLACE(SWITCH($B$13,""Feu"",'Recensement DPS'!C9,""Glace"",'Recensement DPS'!E9,""Vent"",'Recensement DPS'!G9,""Terre"",'Recensement DPS'!I9,""Lumière"",'Recensement DPS'!K9,""Ténèbres"",'Recensement DPS'!M9,""Foudre"",'Recensement DPS'!O9),""(?i)(P["&amp;"0-9]+)\s+"",""$1 / "")),"" / "",FALSE,TRUE),1,2),"""")"),"")</f>
        <v/>
      </c>
      <c r="R41" s="24" t="str">
        <f>IFERROR(__xludf.DUMMYFUNCTION("IF(Q41="""","""",IFERROR(VALUE(REGEXEXTRACT(Q41,""(?i)P\s*([0-9]+)"")),""""))"),"")</f>
        <v/>
      </c>
    </row>
    <row r="42" ht="15.75" customHeight="1">
      <c r="A42" s="17" t="str">
        <f t="shared" si="1"/>
        <v/>
      </c>
      <c r="B42" s="23"/>
      <c r="C42" s="23"/>
      <c r="D42" s="23"/>
      <c r="P42" s="24" t="str">
        <f>'Recensement DPS'!A9</f>
        <v>BarracudaGN</v>
      </c>
      <c r="Q42" s="24" t="str">
        <f>IFERROR(__xludf.DUMMYFUNCTION("IFERROR(INDEX(SPLIT(IF(REGEXMATCH(SWITCH($B$13,""Feu"",'Recensement DPS'!C9,""Glace"",'Recensement DPS'!E9,""Vent"",'Recensement DPS'!G9,""Terre"",'Recensement DPS'!I9,""Lumière"",'Recensement DPS'!K9,""Ténèbres"",'Recensement DPS'!M9,""Foudre"",'Recensem"&amp;"ent DPS'!O9),""/""),SWITCH($B$13,""Feu"",'Recensement DPS'!C9,""Glace"",'Recensement DPS'!E9,""Vent"",'Recensement DPS'!G9,""Terre"",'Recensement DPS'!I9,""Lumière"",'Recensement DPS'!K9,""Ténèbres"",'Recensement DPS'!M9,""Foudre"",'Recensement DPS'!O9),R"&amp;"EGEXREPLACE(SWITCH($B$13,""Feu"",'Recensement DPS'!C9,""Glace"",'Recensement DPS'!E9,""Vent"",'Recensement DPS'!G9,""Terre"",'Recensement DPS'!I9,""Lumière"",'Recensement DPS'!K9,""Ténèbres"",'Recensement DPS'!M9,""Foudre"",'Recensement DPS'!O9),""(?i)(P["&amp;"0-9]+)\s+"",""$1 / "")),"" / "",FALSE,TRUE),1,3),"""")"),"")</f>
        <v/>
      </c>
      <c r="R42" s="24" t="str">
        <f>IFERROR(__xludf.DUMMYFUNCTION("IF(Q42="""","""",IFERROR(VALUE(REGEXEXTRACT(Q42,""(?i)P\s*([0-9]+)"")),""""))"),"")</f>
        <v/>
      </c>
    </row>
    <row r="43" ht="15.75" customHeight="1">
      <c r="A43" s="14" t="str">
        <f t="shared" si="1"/>
        <v/>
      </c>
      <c r="B43" s="23"/>
      <c r="C43" s="23"/>
      <c r="D43" s="23"/>
      <c r="P43" s="24" t="str">
        <f>'Recensement DPS'!A9</f>
        <v>BarracudaGN</v>
      </c>
      <c r="Q43" s="24" t="str">
        <f>IFERROR(__xludf.DUMMYFUNCTION("IFERROR(INDEX(SPLIT(IF(REGEXMATCH(SWITCH($B$13,""Feu"",'Recensement DPS'!C9,""Glace"",'Recensement DPS'!E9,""Vent"",'Recensement DPS'!G9,""Terre"",'Recensement DPS'!I9,""Lumière"",'Recensement DPS'!K9,""Ténèbres"",'Recensement DPS'!M9,""Foudre"",'Recensem"&amp;"ent DPS'!O9),""/""),SWITCH($B$13,""Feu"",'Recensement DPS'!C9,""Glace"",'Recensement DPS'!E9,""Vent"",'Recensement DPS'!G9,""Terre"",'Recensement DPS'!I9,""Lumière"",'Recensement DPS'!K9,""Ténèbres"",'Recensement DPS'!M9,""Foudre"",'Recensement DPS'!O9),R"&amp;"EGEXREPLACE(SWITCH($B$13,""Feu"",'Recensement DPS'!C9,""Glace"",'Recensement DPS'!E9,""Vent"",'Recensement DPS'!G9,""Terre"",'Recensement DPS'!I9,""Lumière"",'Recensement DPS'!K9,""Ténèbres"",'Recensement DPS'!M9,""Foudre"",'Recensement DPS'!O9),""(?i)(P["&amp;"0-9]+)\s+"",""$1 / "")),"" / "",FALSE,TRUE),1,4),"""")"),"")</f>
        <v/>
      </c>
      <c r="R43" s="24" t="str">
        <f>IFERROR(__xludf.DUMMYFUNCTION("IF(Q43="""","""",IFERROR(VALUE(REGEXEXTRACT(Q43,""(?i)P\s*([0-9]+)"")),""""))"),"")</f>
        <v/>
      </c>
    </row>
    <row r="44" ht="15.75" customHeight="1">
      <c r="A44" s="17" t="str">
        <f t="shared" si="1"/>
        <v/>
      </c>
      <c r="B44" s="23"/>
      <c r="C44" s="23"/>
      <c r="D44" s="23"/>
      <c r="P44" s="24" t="str">
        <f>'Recensement DPS'!A9</f>
        <v>BarracudaGN</v>
      </c>
      <c r="Q44" s="24" t="str">
        <f>IFERROR(__xludf.DUMMYFUNCTION("IFERROR(INDEX(SPLIT(IF(REGEXMATCH(SWITCH($B$13,""Feu"",'Recensement DPS'!C9,""Glace"",'Recensement DPS'!E9,""Vent"",'Recensement DPS'!G9,""Terre"",'Recensement DPS'!I9,""Lumière"",'Recensement DPS'!K9,""Ténèbres"",'Recensement DPS'!M9,""Foudre"",'Recensem"&amp;"ent DPS'!O9),""/""),SWITCH($B$13,""Feu"",'Recensement DPS'!C9,""Glace"",'Recensement DPS'!E9,""Vent"",'Recensement DPS'!G9,""Terre"",'Recensement DPS'!I9,""Lumière"",'Recensement DPS'!K9,""Ténèbres"",'Recensement DPS'!M9,""Foudre"",'Recensement DPS'!O9),R"&amp;"EGEXREPLACE(SWITCH($B$13,""Feu"",'Recensement DPS'!C9,""Glace"",'Recensement DPS'!E9,""Vent"",'Recensement DPS'!G9,""Terre"",'Recensement DPS'!I9,""Lumière"",'Recensement DPS'!K9,""Ténèbres"",'Recensement DPS'!M9,""Foudre"",'Recensement DPS'!O9),""(?i)(P["&amp;"0-9]+)\s+"",""$1 / "")),"" / "",FALSE,TRUE),1,5),"""")"),"")</f>
        <v/>
      </c>
      <c r="R44" s="24" t="str">
        <f>IFERROR(__xludf.DUMMYFUNCTION("IF(Q44="""","""",IFERROR(VALUE(REGEXEXTRACT(Q44,""(?i)P\s*([0-9]+)"")),""""))"),"")</f>
        <v/>
      </c>
    </row>
    <row r="45" ht="15.75" customHeight="1">
      <c r="A45" s="14" t="str">
        <f t="shared" si="1"/>
        <v/>
      </c>
      <c r="B45" s="23"/>
      <c r="C45" s="23"/>
      <c r="D45" s="23"/>
      <c r="P45" s="24" t="str">
        <f>'Recensement DPS'!A10</f>
        <v>Behemoth</v>
      </c>
      <c r="Q45" s="24" t="str">
        <f>IFERROR(__xludf.DUMMYFUNCTION("IFERROR(INDEX(SPLIT(IF(REGEXMATCH(SWITCH($B$13,""Feu"",'Recensement DPS'!C10,""Glace"",'Recensement DPS'!E10,""Vent"",'Recensement DPS'!G10,""Terre"",'Recensement DPS'!I10,""Lumière"",'Recensement DPS'!K10,""Ténèbres"",'Recensement DPS'!M10,""Foudre"",'Re"&amp;"censement DPS'!O10),""/""),SWITCH($B$13,""Feu"",'Recensement DPS'!C10,""Glace"",'Recensement DPS'!E10,""Vent"",'Recensement DPS'!G10,""Terre"",'Recensement DPS'!I10,""Lumière"",'Recensement DPS'!K10,""Ténèbres"",'Recensement DPS'!M10,""Foudre"",'Recenseme"&amp;"nt DPS'!O10),REGEXREPLACE(SWITCH($B$13,""Feu"",'Recensement DPS'!C10,""Glace"",'Recensement DPS'!E10,""Vent"",'Recensement DPS'!G10,""Terre"",'Recensement DPS'!I10,""Lumière"",'Recensement DPS'!K10,""Ténèbres"",'Recensement DPS'!M10,""Foudre"",'Recensemen"&amp;"t DPS'!O10),""(?i)(P[0-9]+)\s+"",""$1 / "")),"" / "",FALSE,TRUE),1,1),"""")"),"")</f>
        <v/>
      </c>
      <c r="R45" s="24" t="str">
        <f>IFERROR(__xludf.DUMMYFUNCTION("IF(Q45="""","""",IFERROR(VALUE(REGEXEXTRACT(Q45,""(?i)P\s*([0-9]+)"")),""""))"),"")</f>
        <v/>
      </c>
    </row>
    <row r="46" ht="15.75" customHeight="1">
      <c r="A46" s="17" t="str">
        <f t="shared" si="1"/>
        <v/>
      </c>
      <c r="B46" s="23"/>
      <c r="C46" s="23"/>
      <c r="D46" s="23"/>
      <c r="P46" s="24" t="str">
        <f>'Recensement DPS'!A10</f>
        <v>Behemoth</v>
      </c>
      <c r="Q46" s="24" t="str">
        <f>IFERROR(__xludf.DUMMYFUNCTION("IFERROR(INDEX(SPLIT(IF(REGEXMATCH(SWITCH($B$13,""Feu"",'Recensement DPS'!C10,""Glace"",'Recensement DPS'!E10,""Vent"",'Recensement DPS'!G10,""Terre"",'Recensement DPS'!I10,""Lumière"",'Recensement DPS'!K10,""Ténèbres"",'Recensement DPS'!M10,""Foudre"",'Re"&amp;"censement DPS'!O10),""/""),SWITCH($B$13,""Feu"",'Recensement DPS'!C10,""Glace"",'Recensement DPS'!E10,""Vent"",'Recensement DPS'!G10,""Terre"",'Recensement DPS'!I10,""Lumière"",'Recensement DPS'!K10,""Ténèbres"",'Recensement DPS'!M10,""Foudre"",'Recenseme"&amp;"nt DPS'!O10),REGEXREPLACE(SWITCH($B$13,""Feu"",'Recensement DPS'!C10,""Glace"",'Recensement DPS'!E10,""Vent"",'Recensement DPS'!G10,""Terre"",'Recensement DPS'!I10,""Lumière"",'Recensement DPS'!K10,""Ténèbres"",'Recensement DPS'!M10,""Foudre"",'Recensemen"&amp;"t DPS'!O10),""(?i)(P[0-9]+)\s+"",""$1 / "")),"" / "",FALSE,TRUE),1,2),"""")"),"")</f>
        <v/>
      </c>
      <c r="R46" s="24" t="str">
        <f>IFERROR(__xludf.DUMMYFUNCTION("IF(Q46="""","""",IFERROR(VALUE(REGEXEXTRACT(Q46,""(?i)P\s*([0-9]+)"")),""""))"),"")</f>
        <v/>
      </c>
    </row>
    <row r="47" ht="15.75" customHeight="1">
      <c r="A47" s="14" t="str">
        <f t="shared" si="1"/>
        <v/>
      </c>
      <c r="B47" s="23"/>
      <c r="C47" s="23"/>
      <c r="D47" s="23"/>
      <c r="P47" s="24" t="str">
        <f>'Recensement DPS'!A10</f>
        <v>Behemoth</v>
      </c>
      <c r="Q47" s="24" t="str">
        <f>IFERROR(__xludf.DUMMYFUNCTION("IFERROR(INDEX(SPLIT(IF(REGEXMATCH(SWITCH($B$13,""Feu"",'Recensement DPS'!C10,""Glace"",'Recensement DPS'!E10,""Vent"",'Recensement DPS'!G10,""Terre"",'Recensement DPS'!I10,""Lumière"",'Recensement DPS'!K10,""Ténèbres"",'Recensement DPS'!M10,""Foudre"",'Re"&amp;"censement DPS'!O10),""/""),SWITCH($B$13,""Feu"",'Recensement DPS'!C10,""Glace"",'Recensement DPS'!E10,""Vent"",'Recensement DPS'!G10,""Terre"",'Recensement DPS'!I10,""Lumière"",'Recensement DPS'!K10,""Ténèbres"",'Recensement DPS'!M10,""Foudre"",'Recenseme"&amp;"nt DPS'!O10),REGEXREPLACE(SWITCH($B$13,""Feu"",'Recensement DPS'!C10,""Glace"",'Recensement DPS'!E10,""Vent"",'Recensement DPS'!G10,""Terre"",'Recensement DPS'!I10,""Lumière"",'Recensement DPS'!K10,""Ténèbres"",'Recensement DPS'!M10,""Foudre"",'Recensemen"&amp;"t DPS'!O10),""(?i)(P[0-9]+)\s+"",""$1 / "")),"" / "",FALSE,TRUE),1,3),"""")"),"")</f>
        <v/>
      </c>
      <c r="R47" s="24" t="str">
        <f>IFERROR(__xludf.DUMMYFUNCTION("IF(Q47="""","""",IFERROR(VALUE(REGEXEXTRACT(Q47,""(?i)P\s*([0-9]+)"")),""""))"),"")</f>
        <v/>
      </c>
    </row>
    <row r="48" ht="15.75" customHeight="1">
      <c r="A48" s="17" t="str">
        <f t="shared" si="1"/>
        <v/>
      </c>
      <c r="B48" s="23"/>
      <c r="C48" s="23"/>
      <c r="D48" s="23"/>
      <c r="P48" s="24" t="str">
        <f>'Recensement DPS'!A10</f>
        <v>Behemoth</v>
      </c>
      <c r="Q48" s="24" t="str">
        <f>IFERROR(__xludf.DUMMYFUNCTION("IFERROR(INDEX(SPLIT(IF(REGEXMATCH(SWITCH($B$13,""Feu"",'Recensement DPS'!C10,""Glace"",'Recensement DPS'!E10,""Vent"",'Recensement DPS'!G10,""Terre"",'Recensement DPS'!I10,""Lumière"",'Recensement DPS'!K10,""Ténèbres"",'Recensement DPS'!M10,""Foudre"",'Re"&amp;"censement DPS'!O10),""/""),SWITCH($B$13,""Feu"",'Recensement DPS'!C10,""Glace"",'Recensement DPS'!E10,""Vent"",'Recensement DPS'!G10,""Terre"",'Recensement DPS'!I10,""Lumière"",'Recensement DPS'!K10,""Ténèbres"",'Recensement DPS'!M10,""Foudre"",'Recenseme"&amp;"nt DPS'!O10),REGEXREPLACE(SWITCH($B$13,""Feu"",'Recensement DPS'!C10,""Glace"",'Recensement DPS'!E10,""Vent"",'Recensement DPS'!G10,""Terre"",'Recensement DPS'!I10,""Lumière"",'Recensement DPS'!K10,""Ténèbres"",'Recensement DPS'!M10,""Foudre"",'Recensemen"&amp;"t DPS'!O10),""(?i)(P[0-9]+)\s+"",""$1 / "")),"" / "",FALSE,TRUE),1,4),"""")"),"")</f>
        <v/>
      </c>
      <c r="R48" s="24" t="str">
        <f>IFERROR(__xludf.DUMMYFUNCTION("IF(Q48="""","""",IFERROR(VALUE(REGEXEXTRACT(Q48,""(?i)P\s*([0-9]+)"")),""""))"),"")</f>
        <v/>
      </c>
    </row>
    <row r="49" ht="15.75" customHeight="1">
      <c r="A49" s="14" t="str">
        <f t="shared" si="1"/>
        <v/>
      </c>
      <c r="B49" s="23"/>
      <c r="C49" s="23"/>
      <c r="D49" s="23"/>
      <c r="P49" s="24" t="str">
        <f>'Recensement DPS'!A10</f>
        <v>Behemoth</v>
      </c>
      <c r="Q49" s="24" t="str">
        <f>IFERROR(__xludf.DUMMYFUNCTION("IFERROR(INDEX(SPLIT(IF(REGEXMATCH(SWITCH($B$13,""Feu"",'Recensement DPS'!C10,""Glace"",'Recensement DPS'!E10,""Vent"",'Recensement DPS'!G10,""Terre"",'Recensement DPS'!I10,""Lumière"",'Recensement DPS'!K10,""Ténèbres"",'Recensement DPS'!M10,""Foudre"",'Re"&amp;"censement DPS'!O10),""/""),SWITCH($B$13,""Feu"",'Recensement DPS'!C10,""Glace"",'Recensement DPS'!E10,""Vent"",'Recensement DPS'!G10,""Terre"",'Recensement DPS'!I10,""Lumière"",'Recensement DPS'!K10,""Ténèbres"",'Recensement DPS'!M10,""Foudre"",'Recenseme"&amp;"nt DPS'!O10),REGEXREPLACE(SWITCH($B$13,""Feu"",'Recensement DPS'!C10,""Glace"",'Recensement DPS'!E10,""Vent"",'Recensement DPS'!G10,""Terre"",'Recensement DPS'!I10,""Lumière"",'Recensement DPS'!K10,""Ténèbres"",'Recensement DPS'!M10,""Foudre"",'Recensemen"&amp;"t DPS'!O10),""(?i)(P[0-9]+)\s+"",""$1 / "")),"" / "",FALSE,TRUE),1,5),"""")"),"")</f>
        <v/>
      </c>
      <c r="R49" s="24" t="str">
        <f>IFERROR(__xludf.DUMMYFUNCTION("IF(Q49="""","""",IFERROR(VALUE(REGEXEXTRACT(Q49,""(?i)P\s*([0-9]+)"")),""""))"),"")</f>
        <v/>
      </c>
    </row>
    <row r="50" ht="15.75" customHeight="1">
      <c r="A50" s="17" t="str">
        <f t="shared" si="1"/>
        <v/>
      </c>
      <c r="B50" s="23"/>
      <c r="C50" s="23"/>
      <c r="D50" s="23"/>
      <c r="P50" s="24" t="str">
        <f>'Recensement DPS'!A11</f>
        <v>Casté</v>
      </c>
      <c r="Q50" s="24" t="str">
        <f>IFERROR(__xludf.DUMMYFUNCTION("IFERROR(INDEX(SPLIT(IF(REGEXMATCH(SWITCH($B$13,""Feu"",'Recensement DPS'!C11,""Glace"",'Recensement DPS'!E11,""Vent"",'Recensement DPS'!G11,""Terre"",'Recensement DPS'!I11,""Lumière"",'Recensement DPS'!K11,""Ténèbres"",'Recensement DPS'!M11,""Foudre"",'Re"&amp;"censement DPS'!O11),""/""),SWITCH($B$13,""Feu"",'Recensement DPS'!C11,""Glace"",'Recensement DPS'!E11,""Vent"",'Recensement DPS'!G11,""Terre"",'Recensement DPS'!I11,""Lumière"",'Recensement DPS'!K11,""Ténèbres"",'Recensement DPS'!M11,""Foudre"",'Recenseme"&amp;"nt DPS'!O11),REGEXREPLACE(SWITCH($B$13,""Feu"",'Recensement DPS'!C11,""Glace"",'Recensement DPS'!E11,""Vent"",'Recensement DPS'!G11,""Terre"",'Recensement DPS'!I11,""Lumière"",'Recensement DPS'!K11,""Ténèbres"",'Recensement DPS'!M11,""Foudre"",'Recensemen"&amp;"t DPS'!O11),""(?i)(P[0-9]+)\s+"",""$1 / "")),"" / "",FALSE,TRUE),1,1),"""")"),"")</f>
        <v/>
      </c>
      <c r="R50" s="24" t="str">
        <f>IFERROR(__xludf.DUMMYFUNCTION("IF(Q50="""","""",IFERROR(VALUE(REGEXEXTRACT(Q50,""(?i)P\s*([0-9]+)"")),""""))"),"")</f>
        <v/>
      </c>
    </row>
    <row r="51" ht="15.75" customHeight="1">
      <c r="A51" s="14" t="str">
        <f t="shared" si="1"/>
        <v/>
      </c>
      <c r="B51" s="23"/>
      <c r="C51" s="23"/>
      <c r="D51" s="23"/>
      <c r="P51" s="24" t="str">
        <f>'Recensement DPS'!A11</f>
        <v>Casté</v>
      </c>
      <c r="Q51" s="24" t="str">
        <f>IFERROR(__xludf.DUMMYFUNCTION("IFERROR(INDEX(SPLIT(IF(REGEXMATCH(SWITCH($B$13,""Feu"",'Recensement DPS'!C11,""Glace"",'Recensement DPS'!E11,""Vent"",'Recensement DPS'!G11,""Terre"",'Recensement DPS'!I11,""Lumière"",'Recensement DPS'!K11,""Ténèbres"",'Recensement DPS'!M11,""Foudre"",'Re"&amp;"censement DPS'!O11),""/""),SWITCH($B$13,""Feu"",'Recensement DPS'!C11,""Glace"",'Recensement DPS'!E11,""Vent"",'Recensement DPS'!G11,""Terre"",'Recensement DPS'!I11,""Lumière"",'Recensement DPS'!K11,""Ténèbres"",'Recensement DPS'!M11,""Foudre"",'Recenseme"&amp;"nt DPS'!O11),REGEXREPLACE(SWITCH($B$13,""Feu"",'Recensement DPS'!C11,""Glace"",'Recensement DPS'!E11,""Vent"",'Recensement DPS'!G11,""Terre"",'Recensement DPS'!I11,""Lumière"",'Recensement DPS'!K11,""Ténèbres"",'Recensement DPS'!M11,""Foudre"",'Recensemen"&amp;"t DPS'!O11),""(?i)(P[0-9]+)\s+"",""$1 / "")),"" / "",FALSE,TRUE),1,2),"""")"),"")</f>
        <v/>
      </c>
      <c r="R51" s="24" t="str">
        <f>IFERROR(__xludf.DUMMYFUNCTION("IF(Q51="""","""",IFERROR(VALUE(REGEXEXTRACT(Q51,""(?i)P\s*([0-9]+)"")),""""))"),"")</f>
        <v/>
      </c>
    </row>
    <row r="52" ht="15.75" customHeight="1">
      <c r="A52" s="17" t="str">
        <f t="shared" si="1"/>
        <v/>
      </c>
      <c r="B52" s="23"/>
      <c r="C52" s="23"/>
      <c r="D52" s="23"/>
      <c r="P52" s="24" t="str">
        <f>'Recensement DPS'!A11</f>
        <v>Casté</v>
      </c>
      <c r="Q52" s="24" t="str">
        <f>IFERROR(__xludf.DUMMYFUNCTION("IFERROR(INDEX(SPLIT(IF(REGEXMATCH(SWITCH($B$13,""Feu"",'Recensement DPS'!C11,""Glace"",'Recensement DPS'!E11,""Vent"",'Recensement DPS'!G11,""Terre"",'Recensement DPS'!I11,""Lumière"",'Recensement DPS'!K11,""Ténèbres"",'Recensement DPS'!M11,""Foudre"",'Re"&amp;"censement DPS'!O11),""/""),SWITCH($B$13,""Feu"",'Recensement DPS'!C11,""Glace"",'Recensement DPS'!E11,""Vent"",'Recensement DPS'!G11,""Terre"",'Recensement DPS'!I11,""Lumière"",'Recensement DPS'!K11,""Ténèbres"",'Recensement DPS'!M11,""Foudre"",'Recenseme"&amp;"nt DPS'!O11),REGEXREPLACE(SWITCH($B$13,""Feu"",'Recensement DPS'!C11,""Glace"",'Recensement DPS'!E11,""Vent"",'Recensement DPS'!G11,""Terre"",'Recensement DPS'!I11,""Lumière"",'Recensement DPS'!K11,""Ténèbres"",'Recensement DPS'!M11,""Foudre"",'Recensemen"&amp;"t DPS'!O11),""(?i)(P[0-9]+)\s+"",""$1 / "")),"" / "",FALSE,TRUE),1,3),"""")"),"")</f>
        <v/>
      </c>
      <c r="R52" s="24" t="str">
        <f>IFERROR(__xludf.DUMMYFUNCTION("IF(Q52="""","""",IFERROR(VALUE(REGEXEXTRACT(Q52,""(?i)P\s*([0-9]+)"")),""""))"),"")</f>
        <v/>
      </c>
    </row>
    <row r="53" ht="15.75" customHeight="1">
      <c r="A53" s="14" t="str">
        <f t="shared" si="1"/>
        <v/>
      </c>
      <c r="B53" s="23"/>
      <c r="C53" s="23"/>
      <c r="D53" s="23"/>
      <c r="P53" s="24" t="str">
        <f>'Recensement DPS'!A11</f>
        <v>Casté</v>
      </c>
      <c r="Q53" s="24" t="str">
        <f>IFERROR(__xludf.DUMMYFUNCTION("IFERROR(INDEX(SPLIT(IF(REGEXMATCH(SWITCH($B$13,""Feu"",'Recensement DPS'!C11,""Glace"",'Recensement DPS'!E11,""Vent"",'Recensement DPS'!G11,""Terre"",'Recensement DPS'!I11,""Lumière"",'Recensement DPS'!K11,""Ténèbres"",'Recensement DPS'!M11,""Foudre"",'Re"&amp;"censement DPS'!O11),""/""),SWITCH($B$13,""Feu"",'Recensement DPS'!C11,""Glace"",'Recensement DPS'!E11,""Vent"",'Recensement DPS'!G11,""Terre"",'Recensement DPS'!I11,""Lumière"",'Recensement DPS'!K11,""Ténèbres"",'Recensement DPS'!M11,""Foudre"",'Recenseme"&amp;"nt DPS'!O11),REGEXREPLACE(SWITCH($B$13,""Feu"",'Recensement DPS'!C11,""Glace"",'Recensement DPS'!E11,""Vent"",'Recensement DPS'!G11,""Terre"",'Recensement DPS'!I11,""Lumière"",'Recensement DPS'!K11,""Ténèbres"",'Recensement DPS'!M11,""Foudre"",'Recensemen"&amp;"t DPS'!O11),""(?i)(P[0-9]+)\s+"",""$1 / "")),"" / "",FALSE,TRUE),1,4),"""")"),"")</f>
        <v/>
      </c>
      <c r="R53" s="24" t="str">
        <f>IFERROR(__xludf.DUMMYFUNCTION("IF(Q53="""","""",IFERROR(VALUE(REGEXEXTRACT(Q53,""(?i)P\s*([0-9]+)"")),""""))"),"")</f>
        <v/>
      </c>
    </row>
    <row r="54" ht="15.75" customHeight="1">
      <c r="A54" s="17" t="str">
        <f t="shared" si="1"/>
        <v/>
      </c>
      <c r="B54" s="23"/>
      <c r="C54" s="23"/>
      <c r="D54" s="23"/>
      <c r="P54" s="24" t="str">
        <f>'Recensement DPS'!A11</f>
        <v>Casté</v>
      </c>
      <c r="Q54" s="24" t="str">
        <f>IFERROR(__xludf.DUMMYFUNCTION("IFERROR(INDEX(SPLIT(IF(REGEXMATCH(SWITCH($B$13,""Feu"",'Recensement DPS'!C11,""Glace"",'Recensement DPS'!E11,""Vent"",'Recensement DPS'!G11,""Terre"",'Recensement DPS'!I11,""Lumière"",'Recensement DPS'!K11,""Ténèbres"",'Recensement DPS'!M11,""Foudre"",'Re"&amp;"censement DPS'!O11),""/""),SWITCH($B$13,""Feu"",'Recensement DPS'!C11,""Glace"",'Recensement DPS'!E11,""Vent"",'Recensement DPS'!G11,""Terre"",'Recensement DPS'!I11,""Lumière"",'Recensement DPS'!K11,""Ténèbres"",'Recensement DPS'!M11,""Foudre"",'Recenseme"&amp;"nt DPS'!O11),REGEXREPLACE(SWITCH($B$13,""Feu"",'Recensement DPS'!C11,""Glace"",'Recensement DPS'!E11,""Vent"",'Recensement DPS'!G11,""Terre"",'Recensement DPS'!I11,""Lumière"",'Recensement DPS'!K11,""Ténèbres"",'Recensement DPS'!M11,""Foudre"",'Recensemen"&amp;"t DPS'!O11),""(?i)(P[0-9]+)\s+"",""$1 / "")),"" / "",FALSE,TRUE),1,5),"""")"),"")</f>
        <v/>
      </c>
      <c r="R54" s="24" t="str">
        <f>IFERROR(__xludf.DUMMYFUNCTION("IF(Q54="""","""",IFERROR(VALUE(REGEXEXTRACT(Q54,""(?i)P\s*([0-9]+)"")),""""))"),"")</f>
        <v/>
      </c>
    </row>
    <row r="55" ht="15.75" customHeight="1">
      <c r="A55" s="14" t="str">
        <f t="shared" si="1"/>
        <v/>
      </c>
      <c r="B55" s="23"/>
      <c r="C55" s="23"/>
      <c r="D55" s="23"/>
      <c r="P55" s="24" t="str">
        <f>'Recensement DPS'!A12</f>
        <v>Eyael</v>
      </c>
      <c r="Q55" s="24" t="str">
        <f>IFERROR(__xludf.DUMMYFUNCTION("IFERROR(INDEX(SPLIT(IF(REGEXMATCH(SWITCH($B$13,""Feu"",'Recensement DPS'!C12,""Glace"",'Recensement DPS'!E12,""Vent"",'Recensement DPS'!G12,""Terre"",'Recensement DPS'!I12,""Lumière"",'Recensement DPS'!K12,""Ténèbres"",'Recensement DPS'!M12,""Foudre"",'Re"&amp;"censement DPS'!O12),""/""),SWITCH($B$13,""Feu"",'Recensement DPS'!C12,""Glace"",'Recensement DPS'!E12,""Vent"",'Recensement DPS'!G12,""Terre"",'Recensement DPS'!I12,""Lumière"",'Recensement DPS'!K12,""Ténèbres"",'Recensement DPS'!M12,""Foudre"",'Recenseme"&amp;"nt DPS'!O12),REGEXREPLACE(SWITCH($B$13,""Feu"",'Recensement DPS'!C12,""Glace"",'Recensement DPS'!E12,""Vent"",'Recensement DPS'!G12,""Terre"",'Recensement DPS'!I12,""Lumière"",'Recensement DPS'!K12,""Ténèbres"",'Recensement DPS'!M12,""Foudre"",'Recensemen"&amp;"t DPS'!O12),""(?i)(P[0-9]+)\s+"",""$1 / "")),"" / "",FALSE,TRUE),1,1),"""")"),"")</f>
        <v/>
      </c>
      <c r="R55" s="24" t="str">
        <f>IFERROR(__xludf.DUMMYFUNCTION("IF(Q55="""","""",IFERROR(VALUE(REGEXEXTRACT(Q55,""(?i)P\s*([0-9]+)"")),""""))"),"")</f>
        <v/>
      </c>
    </row>
    <row r="56" ht="15.75" customHeight="1">
      <c r="A56" s="17" t="str">
        <f t="shared" si="1"/>
        <v/>
      </c>
      <c r="B56" s="23"/>
      <c r="C56" s="23"/>
      <c r="D56" s="23"/>
      <c r="P56" s="24" t="str">
        <f>'Recensement DPS'!A12</f>
        <v>Eyael</v>
      </c>
      <c r="Q56" s="24" t="str">
        <f>IFERROR(__xludf.DUMMYFUNCTION("IFERROR(INDEX(SPLIT(IF(REGEXMATCH(SWITCH($B$13,""Feu"",'Recensement DPS'!C12,""Glace"",'Recensement DPS'!E12,""Vent"",'Recensement DPS'!G12,""Terre"",'Recensement DPS'!I12,""Lumière"",'Recensement DPS'!K12,""Ténèbres"",'Recensement DPS'!M12,""Foudre"",'Re"&amp;"censement DPS'!O12),""/""),SWITCH($B$13,""Feu"",'Recensement DPS'!C12,""Glace"",'Recensement DPS'!E12,""Vent"",'Recensement DPS'!G12,""Terre"",'Recensement DPS'!I12,""Lumière"",'Recensement DPS'!K12,""Ténèbres"",'Recensement DPS'!M12,""Foudre"",'Recenseme"&amp;"nt DPS'!O12),REGEXREPLACE(SWITCH($B$13,""Feu"",'Recensement DPS'!C12,""Glace"",'Recensement DPS'!E12,""Vent"",'Recensement DPS'!G12,""Terre"",'Recensement DPS'!I12,""Lumière"",'Recensement DPS'!K12,""Ténèbres"",'Recensement DPS'!M12,""Foudre"",'Recensemen"&amp;"t DPS'!O12),""(?i)(P[0-9]+)\s+"",""$1 / "")),"" / "",FALSE,TRUE),1,2),"""")"),"")</f>
        <v/>
      </c>
      <c r="R56" s="24" t="str">
        <f>IFERROR(__xludf.DUMMYFUNCTION("IF(Q56="""","""",IFERROR(VALUE(REGEXEXTRACT(Q56,""(?i)P\s*([0-9]+)"")),""""))"),"")</f>
        <v/>
      </c>
    </row>
    <row r="57" ht="15.75" customHeight="1">
      <c r="A57" s="14" t="str">
        <f t="shared" si="1"/>
        <v/>
      </c>
      <c r="B57" s="23"/>
      <c r="C57" s="23"/>
      <c r="D57" s="23"/>
      <c r="P57" s="24" t="str">
        <f>'Recensement DPS'!A12</f>
        <v>Eyael</v>
      </c>
      <c r="Q57" s="24" t="str">
        <f>IFERROR(__xludf.DUMMYFUNCTION("IFERROR(INDEX(SPLIT(IF(REGEXMATCH(SWITCH($B$13,""Feu"",'Recensement DPS'!C12,""Glace"",'Recensement DPS'!E12,""Vent"",'Recensement DPS'!G12,""Terre"",'Recensement DPS'!I12,""Lumière"",'Recensement DPS'!K12,""Ténèbres"",'Recensement DPS'!M12,""Foudre"",'Re"&amp;"censement DPS'!O12),""/""),SWITCH($B$13,""Feu"",'Recensement DPS'!C12,""Glace"",'Recensement DPS'!E12,""Vent"",'Recensement DPS'!G12,""Terre"",'Recensement DPS'!I12,""Lumière"",'Recensement DPS'!K12,""Ténèbres"",'Recensement DPS'!M12,""Foudre"",'Recenseme"&amp;"nt DPS'!O12),REGEXREPLACE(SWITCH($B$13,""Feu"",'Recensement DPS'!C12,""Glace"",'Recensement DPS'!E12,""Vent"",'Recensement DPS'!G12,""Terre"",'Recensement DPS'!I12,""Lumière"",'Recensement DPS'!K12,""Ténèbres"",'Recensement DPS'!M12,""Foudre"",'Recensemen"&amp;"t DPS'!O12),""(?i)(P[0-9]+)\s+"",""$1 / "")),"" / "",FALSE,TRUE),1,3),"""")"),"")</f>
        <v/>
      </c>
      <c r="R57" s="24" t="str">
        <f>IFERROR(__xludf.DUMMYFUNCTION("IF(Q57="""","""",IFERROR(VALUE(REGEXEXTRACT(Q57,""(?i)P\s*([0-9]+)"")),""""))"),"")</f>
        <v/>
      </c>
    </row>
    <row r="58" ht="15.75" customHeight="1">
      <c r="A58" s="17" t="str">
        <f t="shared" si="1"/>
        <v/>
      </c>
      <c r="B58" s="23"/>
      <c r="C58" s="23"/>
      <c r="D58" s="23"/>
      <c r="P58" s="24" t="str">
        <f>'Recensement DPS'!A12</f>
        <v>Eyael</v>
      </c>
      <c r="Q58" s="24" t="str">
        <f>IFERROR(__xludf.DUMMYFUNCTION("IFERROR(INDEX(SPLIT(IF(REGEXMATCH(SWITCH($B$13,""Feu"",'Recensement DPS'!C12,""Glace"",'Recensement DPS'!E12,""Vent"",'Recensement DPS'!G12,""Terre"",'Recensement DPS'!I12,""Lumière"",'Recensement DPS'!K12,""Ténèbres"",'Recensement DPS'!M12,""Foudre"",'Re"&amp;"censement DPS'!O12),""/""),SWITCH($B$13,""Feu"",'Recensement DPS'!C12,""Glace"",'Recensement DPS'!E12,""Vent"",'Recensement DPS'!G12,""Terre"",'Recensement DPS'!I12,""Lumière"",'Recensement DPS'!K12,""Ténèbres"",'Recensement DPS'!M12,""Foudre"",'Recenseme"&amp;"nt DPS'!O12),REGEXREPLACE(SWITCH($B$13,""Feu"",'Recensement DPS'!C12,""Glace"",'Recensement DPS'!E12,""Vent"",'Recensement DPS'!G12,""Terre"",'Recensement DPS'!I12,""Lumière"",'Recensement DPS'!K12,""Ténèbres"",'Recensement DPS'!M12,""Foudre"",'Recensemen"&amp;"t DPS'!O12),""(?i)(P[0-9]+)\s+"",""$1 / "")),"" / "",FALSE,TRUE),1,4),"""")"),"")</f>
        <v/>
      </c>
      <c r="R58" s="24" t="str">
        <f>IFERROR(__xludf.DUMMYFUNCTION("IF(Q58="""","""",IFERROR(VALUE(REGEXEXTRACT(Q58,""(?i)P\s*([0-9]+)"")),""""))"),"")</f>
        <v/>
      </c>
    </row>
    <row r="59" ht="15.75" customHeight="1">
      <c r="A59" s="14" t="str">
        <f t="shared" si="1"/>
        <v/>
      </c>
      <c r="B59" s="23"/>
      <c r="C59" s="23"/>
      <c r="D59" s="23"/>
      <c r="P59" s="24" t="str">
        <f>'Recensement DPS'!A12</f>
        <v>Eyael</v>
      </c>
      <c r="Q59" s="24" t="str">
        <f>IFERROR(__xludf.DUMMYFUNCTION("IFERROR(INDEX(SPLIT(IF(REGEXMATCH(SWITCH($B$13,""Feu"",'Recensement DPS'!C12,""Glace"",'Recensement DPS'!E12,""Vent"",'Recensement DPS'!G12,""Terre"",'Recensement DPS'!I12,""Lumière"",'Recensement DPS'!K12,""Ténèbres"",'Recensement DPS'!M12,""Foudre"",'Re"&amp;"censement DPS'!O12),""/""),SWITCH($B$13,""Feu"",'Recensement DPS'!C12,""Glace"",'Recensement DPS'!E12,""Vent"",'Recensement DPS'!G12,""Terre"",'Recensement DPS'!I12,""Lumière"",'Recensement DPS'!K12,""Ténèbres"",'Recensement DPS'!M12,""Foudre"",'Recenseme"&amp;"nt DPS'!O12),REGEXREPLACE(SWITCH($B$13,""Feu"",'Recensement DPS'!C12,""Glace"",'Recensement DPS'!E12,""Vent"",'Recensement DPS'!G12,""Terre"",'Recensement DPS'!I12,""Lumière"",'Recensement DPS'!K12,""Ténèbres"",'Recensement DPS'!M12,""Foudre"",'Recensemen"&amp;"t DPS'!O12),""(?i)(P[0-9]+)\s+"",""$1 / "")),"" / "",FALSE,TRUE),1,5),"""")"),"")</f>
        <v/>
      </c>
      <c r="R59" s="24" t="str">
        <f>IFERROR(__xludf.DUMMYFUNCTION("IF(Q59="""","""",IFERROR(VALUE(REGEXEXTRACT(Q59,""(?i)P\s*([0-9]+)"")),""""))"),"")</f>
        <v/>
      </c>
    </row>
    <row r="60" ht="15.75" customHeight="1">
      <c r="A60" s="17" t="str">
        <f t="shared" si="1"/>
        <v/>
      </c>
      <c r="B60" s="23"/>
      <c r="C60" s="23"/>
      <c r="D60" s="23"/>
      <c r="P60" s="24" t="str">
        <f>'Recensement DPS'!A13</f>
        <v>Fonzey</v>
      </c>
      <c r="Q60" s="24" t="str">
        <f>IFERROR(__xludf.DUMMYFUNCTION("IFERROR(INDEX(SPLIT(IF(REGEXMATCH(SWITCH($B$13,""Feu"",'Recensement DPS'!C13,""Glace"",'Recensement DPS'!E13,""Vent"",'Recensement DPS'!G13,""Terre"",'Recensement DPS'!I13,""Lumière"",'Recensement DPS'!K13,""Ténèbres"",'Recensement DPS'!M13,""Foudre"",'Re"&amp;"censement DPS'!O13),""/""),SWITCH($B$13,""Feu"",'Recensement DPS'!C13,""Glace"",'Recensement DPS'!E13,""Vent"",'Recensement DPS'!G13,""Terre"",'Recensement DPS'!I13,""Lumière"",'Recensement DPS'!K13,""Ténèbres"",'Recensement DPS'!M13,""Foudre"",'Recenseme"&amp;"nt DPS'!O13),REGEXREPLACE(SWITCH($B$13,""Feu"",'Recensement DPS'!C13,""Glace"",'Recensement DPS'!E13,""Vent"",'Recensement DPS'!G13,""Terre"",'Recensement DPS'!I13,""Lumière"",'Recensement DPS'!K13,""Ténèbres"",'Recensement DPS'!M13,""Foudre"",'Recensemen"&amp;"t DPS'!O13),""(?i)(P[0-9]+)\s+"",""$1 / "")),"" / "",FALSE,TRUE),1,1),"""")"),"")</f>
        <v/>
      </c>
      <c r="R60" s="24" t="str">
        <f>IFERROR(__xludf.DUMMYFUNCTION("IF(Q60="""","""",IFERROR(VALUE(REGEXEXTRACT(Q60,""(?i)P\s*([0-9]+)"")),""""))"),"")</f>
        <v/>
      </c>
    </row>
    <row r="61" ht="15.75" customHeight="1">
      <c r="A61" s="14" t="str">
        <f t="shared" si="1"/>
        <v/>
      </c>
      <c r="B61" s="23"/>
      <c r="C61" s="23"/>
      <c r="D61" s="23"/>
      <c r="P61" s="24" t="str">
        <f>'Recensement DPS'!A13</f>
        <v>Fonzey</v>
      </c>
      <c r="Q61" s="24" t="str">
        <f>IFERROR(__xludf.DUMMYFUNCTION("IFERROR(INDEX(SPLIT(IF(REGEXMATCH(SWITCH($B$13,""Feu"",'Recensement DPS'!C13,""Glace"",'Recensement DPS'!E13,""Vent"",'Recensement DPS'!G13,""Terre"",'Recensement DPS'!I13,""Lumière"",'Recensement DPS'!K13,""Ténèbres"",'Recensement DPS'!M13,""Foudre"",'Re"&amp;"censement DPS'!O13),""/""),SWITCH($B$13,""Feu"",'Recensement DPS'!C13,""Glace"",'Recensement DPS'!E13,""Vent"",'Recensement DPS'!G13,""Terre"",'Recensement DPS'!I13,""Lumière"",'Recensement DPS'!K13,""Ténèbres"",'Recensement DPS'!M13,""Foudre"",'Recenseme"&amp;"nt DPS'!O13),REGEXREPLACE(SWITCH($B$13,""Feu"",'Recensement DPS'!C13,""Glace"",'Recensement DPS'!E13,""Vent"",'Recensement DPS'!G13,""Terre"",'Recensement DPS'!I13,""Lumière"",'Recensement DPS'!K13,""Ténèbres"",'Recensement DPS'!M13,""Foudre"",'Recensemen"&amp;"t DPS'!O13),""(?i)(P[0-9]+)\s+"",""$1 / "")),"" / "",FALSE,TRUE),1,2),"""")"),"")</f>
        <v/>
      </c>
      <c r="R61" s="24" t="str">
        <f>IFERROR(__xludf.DUMMYFUNCTION("IF(Q61="""","""",IFERROR(VALUE(REGEXEXTRACT(Q61,""(?i)P\s*([0-9]+)"")),""""))"),"")</f>
        <v/>
      </c>
    </row>
    <row r="62" ht="15.75" customHeight="1">
      <c r="A62" s="17" t="str">
        <f t="shared" si="1"/>
        <v/>
      </c>
      <c r="B62" s="23"/>
      <c r="C62" s="23"/>
      <c r="D62" s="23"/>
      <c r="P62" s="24" t="str">
        <f>'Recensement DPS'!A13</f>
        <v>Fonzey</v>
      </c>
      <c r="Q62" s="24" t="str">
        <f>IFERROR(__xludf.DUMMYFUNCTION("IFERROR(INDEX(SPLIT(IF(REGEXMATCH(SWITCH($B$13,""Feu"",'Recensement DPS'!C13,""Glace"",'Recensement DPS'!E13,""Vent"",'Recensement DPS'!G13,""Terre"",'Recensement DPS'!I13,""Lumière"",'Recensement DPS'!K13,""Ténèbres"",'Recensement DPS'!M13,""Foudre"",'Re"&amp;"censement DPS'!O13),""/""),SWITCH($B$13,""Feu"",'Recensement DPS'!C13,""Glace"",'Recensement DPS'!E13,""Vent"",'Recensement DPS'!G13,""Terre"",'Recensement DPS'!I13,""Lumière"",'Recensement DPS'!K13,""Ténèbres"",'Recensement DPS'!M13,""Foudre"",'Recenseme"&amp;"nt DPS'!O13),REGEXREPLACE(SWITCH($B$13,""Feu"",'Recensement DPS'!C13,""Glace"",'Recensement DPS'!E13,""Vent"",'Recensement DPS'!G13,""Terre"",'Recensement DPS'!I13,""Lumière"",'Recensement DPS'!K13,""Ténèbres"",'Recensement DPS'!M13,""Foudre"",'Recensemen"&amp;"t DPS'!O13),""(?i)(P[0-9]+)\s+"",""$1 / "")),"" / "",FALSE,TRUE),1,3),"""")"),"")</f>
        <v/>
      </c>
      <c r="R62" s="24" t="str">
        <f>IFERROR(__xludf.DUMMYFUNCTION("IF(Q62="""","""",IFERROR(VALUE(REGEXEXTRACT(Q62,""(?i)P\s*([0-9]+)"")),""""))"),"")</f>
        <v/>
      </c>
    </row>
    <row r="63" ht="15.75" customHeight="1">
      <c r="A63" s="14" t="str">
        <f t="shared" si="1"/>
        <v/>
      </c>
      <c r="B63" s="23"/>
      <c r="C63" s="23"/>
      <c r="D63" s="23"/>
      <c r="P63" s="24" t="str">
        <f>'Recensement DPS'!A13</f>
        <v>Fonzey</v>
      </c>
      <c r="Q63" s="24" t="str">
        <f>IFERROR(__xludf.DUMMYFUNCTION("IFERROR(INDEX(SPLIT(IF(REGEXMATCH(SWITCH($B$13,""Feu"",'Recensement DPS'!C13,""Glace"",'Recensement DPS'!E13,""Vent"",'Recensement DPS'!G13,""Terre"",'Recensement DPS'!I13,""Lumière"",'Recensement DPS'!K13,""Ténèbres"",'Recensement DPS'!M13,""Foudre"",'Re"&amp;"censement DPS'!O13),""/""),SWITCH($B$13,""Feu"",'Recensement DPS'!C13,""Glace"",'Recensement DPS'!E13,""Vent"",'Recensement DPS'!G13,""Terre"",'Recensement DPS'!I13,""Lumière"",'Recensement DPS'!K13,""Ténèbres"",'Recensement DPS'!M13,""Foudre"",'Recenseme"&amp;"nt DPS'!O13),REGEXREPLACE(SWITCH($B$13,""Feu"",'Recensement DPS'!C13,""Glace"",'Recensement DPS'!E13,""Vent"",'Recensement DPS'!G13,""Terre"",'Recensement DPS'!I13,""Lumière"",'Recensement DPS'!K13,""Ténèbres"",'Recensement DPS'!M13,""Foudre"",'Recensemen"&amp;"t DPS'!O13),""(?i)(P[0-9]+)\s+"",""$1 / "")),"" / "",FALSE,TRUE),1,4),"""")"),"")</f>
        <v/>
      </c>
      <c r="R63" s="24" t="str">
        <f>IFERROR(__xludf.DUMMYFUNCTION("IF(Q63="""","""",IFERROR(VALUE(REGEXEXTRACT(Q63,""(?i)P\s*([0-9]+)"")),""""))"),"")</f>
        <v/>
      </c>
    </row>
    <row r="64" ht="15.75" customHeight="1">
      <c r="A64" s="17" t="str">
        <f t="shared" si="1"/>
        <v/>
      </c>
      <c r="B64" s="23"/>
      <c r="C64" s="23"/>
      <c r="D64" s="23"/>
      <c r="P64" s="24" t="str">
        <f>'Recensement DPS'!A13</f>
        <v>Fonzey</v>
      </c>
      <c r="Q64" s="24" t="str">
        <f>IFERROR(__xludf.DUMMYFUNCTION("IFERROR(INDEX(SPLIT(IF(REGEXMATCH(SWITCH($B$13,""Feu"",'Recensement DPS'!C13,""Glace"",'Recensement DPS'!E13,""Vent"",'Recensement DPS'!G13,""Terre"",'Recensement DPS'!I13,""Lumière"",'Recensement DPS'!K13,""Ténèbres"",'Recensement DPS'!M13,""Foudre"",'Re"&amp;"censement DPS'!O13),""/""),SWITCH($B$13,""Feu"",'Recensement DPS'!C13,""Glace"",'Recensement DPS'!E13,""Vent"",'Recensement DPS'!G13,""Terre"",'Recensement DPS'!I13,""Lumière"",'Recensement DPS'!K13,""Ténèbres"",'Recensement DPS'!M13,""Foudre"",'Recenseme"&amp;"nt DPS'!O13),REGEXREPLACE(SWITCH($B$13,""Feu"",'Recensement DPS'!C13,""Glace"",'Recensement DPS'!E13,""Vent"",'Recensement DPS'!G13,""Terre"",'Recensement DPS'!I13,""Lumière"",'Recensement DPS'!K13,""Ténèbres"",'Recensement DPS'!M13,""Foudre"",'Recensemen"&amp;"t DPS'!O13),""(?i)(P[0-9]+)\s+"",""$1 / "")),"" / "",FALSE,TRUE),1,5),"""")"),"")</f>
        <v/>
      </c>
      <c r="R64" s="24" t="str">
        <f>IFERROR(__xludf.DUMMYFUNCTION("IF(Q64="""","""",IFERROR(VALUE(REGEXEXTRACT(Q64,""(?i)P\s*([0-9]+)"")),""""))"),"")</f>
        <v/>
      </c>
    </row>
    <row r="65" ht="15.75" customHeight="1">
      <c r="A65" s="14" t="str">
        <f t="shared" si="1"/>
        <v/>
      </c>
      <c r="B65" s="23"/>
      <c r="C65" s="23"/>
      <c r="D65" s="23"/>
      <c r="P65" s="24" t="str">
        <f>'Recensement DPS'!A14</f>
        <v>Fruit11A</v>
      </c>
      <c r="Q65" s="24" t="str">
        <f>IFERROR(__xludf.DUMMYFUNCTION("IFERROR(INDEX(SPLIT(IF(REGEXMATCH(SWITCH($B$13,""Feu"",'Recensement DPS'!C14,""Glace"",'Recensement DPS'!E14,""Vent"",'Recensement DPS'!G14,""Terre"",'Recensement DPS'!I14,""Lumière"",'Recensement DPS'!K14,""Ténèbres"",'Recensement DPS'!M14,""Foudre"",'Re"&amp;"censement DPS'!O14),""/""),SWITCH($B$13,""Feu"",'Recensement DPS'!C14,""Glace"",'Recensement DPS'!E14,""Vent"",'Recensement DPS'!G14,""Terre"",'Recensement DPS'!I14,""Lumière"",'Recensement DPS'!K14,""Ténèbres"",'Recensement DPS'!M14,""Foudre"",'Recenseme"&amp;"nt DPS'!O14),REGEXREPLACE(SWITCH($B$13,""Feu"",'Recensement DPS'!C14,""Glace"",'Recensement DPS'!E14,""Vent"",'Recensement DPS'!G14,""Terre"",'Recensement DPS'!I14,""Lumière"",'Recensement DPS'!K14,""Ténèbres"",'Recensement DPS'!M14,""Foudre"",'Recensemen"&amp;"t DPS'!O14),""(?i)(P[0-9]+)\s+"",""$1 / "")),"" / "",FALSE,TRUE),1,1),"""")"),"")</f>
        <v/>
      </c>
      <c r="R65" s="24" t="str">
        <f>IFERROR(__xludf.DUMMYFUNCTION("IF(Q65="""","""",IFERROR(VALUE(REGEXEXTRACT(Q65,""(?i)P\s*([0-9]+)"")),""""))"),"")</f>
        <v/>
      </c>
    </row>
    <row r="66" ht="15.75" customHeight="1">
      <c r="A66" s="17" t="str">
        <f t="shared" si="1"/>
        <v/>
      </c>
      <c r="B66" s="23"/>
      <c r="C66" s="23"/>
      <c r="D66" s="23"/>
      <c r="P66" s="24" t="str">
        <f>'Recensement DPS'!A14</f>
        <v>Fruit11A</v>
      </c>
      <c r="Q66" s="24" t="str">
        <f>IFERROR(__xludf.DUMMYFUNCTION("IFERROR(INDEX(SPLIT(IF(REGEXMATCH(SWITCH($B$13,""Feu"",'Recensement DPS'!C14,""Glace"",'Recensement DPS'!E14,""Vent"",'Recensement DPS'!G14,""Terre"",'Recensement DPS'!I14,""Lumière"",'Recensement DPS'!K14,""Ténèbres"",'Recensement DPS'!M14,""Foudre"",'Re"&amp;"censement DPS'!O14),""/""),SWITCH($B$13,""Feu"",'Recensement DPS'!C14,""Glace"",'Recensement DPS'!E14,""Vent"",'Recensement DPS'!G14,""Terre"",'Recensement DPS'!I14,""Lumière"",'Recensement DPS'!K14,""Ténèbres"",'Recensement DPS'!M14,""Foudre"",'Recenseme"&amp;"nt DPS'!O14),REGEXREPLACE(SWITCH($B$13,""Feu"",'Recensement DPS'!C14,""Glace"",'Recensement DPS'!E14,""Vent"",'Recensement DPS'!G14,""Terre"",'Recensement DPS'!I14,""Lumière"",'Recensement DPS'!K14,""Ténèbres"",'Recensement DPS'!M14,""Foudre"",'Recensemen"&amp;"t DPS'!O14),""(?i)(P[0-9]+)\s+"",""$1 / "")),"" / "",FALSE,TRUE),1,2),"""")"),"")</f>
        <v/>
      </c>
      <c r="R66" s="24" t="str">
        <f>IFERROR(__xludf.DUMMYFUNCTION("IF(Q66="""","""",IFERROR(VALUE(REGEXEXTRACT(Q66,""(?i)P\s*([0-9]+)"")),""""))"),"")</f>
        <v/>
      </c>
    </row>
    <row r="67" ht="15.75" customHeight="1">
      <c r="A67" s="14" t="str">
        <f t="shared" si="1"/>
        <v/>
      </c>
      <c r="B67" s="23"/>
      <c r="C67" s="23"/>
      <c r="D67" s="23"/>
      <c r="P67" s="24" t="str">
        <f>'Recensement DPS'!A14</f>
        <v>Fruit11A</v>
      </c>
      <c r="Q67" s="24" t="str">
        <f>IFERROR(__xludf.DUMMYFUNCTION("IFERROR(INDEX(SPLIT(IF(REGEXMATCH(SWITCH($B$13,""Feu"",'Recensement DPS'!C14,""Glace"",'Recensement DPS'!E14,""Vent"",'Recensement DPS'!G14,""Terre"",'Recensement DPS'!I14,""Lumière"",'Recensement DPS'!K14,""Ténèbres"",'Recensement DPS'!M14,""Foudre"",'Re"&amp;"censement DPS'!O14),""/""),SWITCH($B$13,""Feu"",'Recensement DPS'!C14,""Glace"",'Recensement DPS'!E14,""Vent"",'Recensement DPS'!G14,""Terre"",'Recensement DPS'!I14,""Lumière"",'Recensement DPS'!K14,""Ténèbres"",'Recensement DPS'!M14,""Foudre"",'Recenseme"&amp;"nt DPS'!O14),REGEXREPLACE(SWITCH($B$13,""Feu"",'Recensement DPS'!C14,""Glace"",'Recensement DPS'!E14,""Vent"",'Recensement DPS'!G14,""Terre"",'Recensement DPS'!I14,""Lumière"",'Recensement DPS'!K14,""Ténèbres"",'Recensement DPS'!M14,""Foudre"",'Recensemen"&amp;"t DPS'!O14),""(?i)(P[0-9]+)\s+"",""$1 / "")),"" / "",FALSE,TRUE),1,3),"""")"),"")</f>
        <v/>
      </c>
      <c r="R67" s="24" t="str">
        <f>IFERROR(__xludf.DUMMYFUNCTION("IF(Q67="""","""",IFERROR(VALUE(REGEXEXTRACT(Q67,""(?i)P\s*([0-9]+)"")),""""))"),"")</f>
        <v/>
      </c>
    </row>
    <row r="68" ht="15.75" customHeight="1">
      <c r="A68" s="17" t="str">
        <f t="shared" si="1"/>
        <v/>
      </c>
      <c r="B68" s="23"/>
      <c r="C68" s="23"/>
      <c r="D68" s="23"/>
      <c r="P68" s="24" t="str">
        <f>'Recensement DPS'!A14</f>
        <v>Fruit11A</v>
      </c>
      <c r="Q68" s="24" t="str">
        <f>IFERROR(__xludf.DUMMYFUNCTION("IFERROR(INDEX(SPLIT(IF(REGEXMATCH(SWITCH($B$13,""Feu"",'Recensement DPS'!C14,""Glace"",'Recensement DPS'!E14,""Vent"",'Recensement DPS'!G14,""Terre"",'Recensement DPS'!I14,""Lumière"",'Recensement DPS'!K14,""Ténèbres"",'Recensement DPS'!M14,""Foudre"",'Re"&amp;"censement DPS'!O14),""/""),SWITCH($B$13,""Feu"",'Recensement DPS'!C14,""Glace"",'Recensement DPS'!E14,""Vent"",'Recensement DPS'!G14,""Terre"",'Recensement DPS'!I14,""Lumière"",'Recensement DPS'!K14,""Ténèbres"",'Recensement DPS'!M14,""Foudre"",'Recenseme"&amp;"nt DPS'!O14),REGEXREPLACE(SWITCH($B$13,""Feu"",'Recensement DPS'!C14,""Glace"",'Recensement DPS'!E14,""Vent"",'Recensement DPS'!G14,""Terre"",'Recensement DPS'!I14,""Lumière"",'Recensement DPS'!K14,""Ténèbres"",'Recensement DPS'!M14,""Foudre"",'Recensemen"&amp;"t DPS'!O14),""(?i)(P[0-9]+)\s+"",""$1 / "")),"" / "",FALSE,TRUE),1,4),"""")"),"")</f>
        <v/>
      </c>
      <c r="R68" s="24" t="str">
        <f>IFERROR(__xludf.DUMMYFUNCTION("IF(Q68="""","""",IFERROR(VALUE(REGEXEXTRACT(Q68,""(?i)P\s*([0-9]+)"")),""""))"),"")</f>
        <v/>
      </c>
    </row>
    <row r="69" ht="15.75" customHeight="1">
      <c r="A69" s="14" t="str">
        <f t="shared" si="1"/>
        <v/>
      </c>
      <c r="B69" s="23"/>
      <c r="C69" s="23"/>
      <c r="D69" s="23"/>
      <c r="P69" s="24" t="str">
        <f>'Recensement DPS'!A14</f>
        <v>Fruit11A</v>
      </c>
      <c r="Q69" s="24" t="str">
        <f>IFERROR(__xludf.DUMMYFUNCTION("IFERROR(INDEX(SPLIT(IF(REGEXMATCH(SWITCH($B$13,""Feu"",'Recensement DPS'!C14,""Glace"",'Recensement DPS'!E14,""Vent"",'Recensement DPS'!G14,""Terre"",'Recensement DPS'!I14,""Lumière"",'Recensement DPS'!K14,""Ténèbres"",'Recensement DPS'!M14,""Foudre"",'Re"&amp;"censement DPS'!O14),""/""),SWITCH($B$13,""Feu"",'Recensement DPS'!C14,""Glace"",'Recensement DPS'!E14,""Vent"",'Recensement DPS'!G14,""Terre"",'Recensement DPS'!I14,""Lumière"",'Recensement DPS'!K14,""Ténèbres"",'Recensement DPS'!M14,""Foudre"",'Recenseme"&amp;"nt DPS'!O14),REGEXREPLACE(SWITCH($B$13,""Feu"",'Recensement DPS'!C14,""Glace"",'Recensement DPS'!E14,""Vent"",'Recensement DPS'!G14,""Terre"",'Recensement DPS'!I14,""Lumière"",'Recensement DPS'!K14,""Ténèbres"",'Recensement DPS'!M14,""Foudre"",'Recensemen"&amp;"t DPS'!O14),""(?i)(P[0-9]+)\s+"",""$1 / "")),"" / "",FALSE,TRUE),1,5),"""")"),"")</f>
        <v/>
      </c>
      <c r="R69" s="24" t="str">
        <f>IFERROR(__xludf.DUMMYFUNCTION("IF(Q69="""","""",IFERROR(VALUE(REGEXEXTRACT(Q69,""(?i)P\s*([0-9]+)"")),""""))"),"")</f>
        <v/>
      </c>
    </row>
    <row r="70" ht="15.75" customHeight="1">
      <c r="A70" s="17" t="str">
        <f t="shared" si="1"/>
        <v/>
      </c>
      <c r="B70" s="23"/>
      <c r="C70" s="23"/>
      <c r="D70" s="23"/>
      <c r="P70" s="24" t="str">
        <f>'Recensement DPS'!A15</f>
        <v>Godgift</v>
      </c>
      <c r="Q70" s="24" t="str">
        <f>IFERROR(__xludf.DUMMYFUNCTION("IFERROR(INDEX(SPLIT(IF(REGEXMATCH(SWITCH($B$13,""Feu"",'Recensement DPS'!C15,""Glace"",'Recensement DPS'!E15,""Vent"",'Recensement DPS'!G15,""Terre"",'Recensement DPS'!I15,""Lumière"",'Recensement DPS'!K15,""Ténèbres"",'Recensement DPS'!M15,""Foudre"",'Re"&amp;"censement DPS'!O15),""/""),SWITCH($B$13,""Feu"",'Recensement DPS'!C15,""Glace"",'Recensement DPS'!E15,""Vent"",'Recensement DPS'!G15,""Terre"",'Recensement DPS'!I15,""Lumière"",'Recensement DPS'!K15,""Ténèbres"",'Recensement DPS'!M15,""Foudre"",'Recenseme"&amp;"nt DPS'!O15),REGEXREPLACE(SWITCH($B$13,""Feu"",'Recensement DPS'!C15,""Glace"",'Recensement DPS'!E15,""Vent"",'Recensement DPS'!G15,""Terre"",'Recensement DPS'!I15,""Lumière"",'Recensement DPS'!K15,""Ténèbres"",'Recensement DPS'!M15,""Foudre"",'Recensemen"&amp;"t DPS'!O15),""(?i)(P[0-9]+)\s+"",""$1 / "")),"" / "",FALSE,TRUE),1,1),"""")"),"")</f>
        <v/>
      </c>
      <c r="R70" s="24" t="str">
        <f>IFERROR(__xludf.DUMMYFUNCTION("IF(Q70="""","""",IFERROR(VALUE(REGEXEXTRACT(Q70,""(?i)P\s*([0-9]+)"")),""""))"),"")</f>
        <v/>
      </c>
    </row>
    <row r="71" ht="15.75" customHeight="1">
      <c r="A71" s="14" t="str">
        <f t="shared" si="1"/>
        <v/>
      </c>
      <c r="B71" s="23"/>
      <c r="C71" s="23"/>
      <c r="D71" s="23"/>
      <c r="P71" s="24" t="str">
        <f>'Recensement DPS'!A15</f>
        <v>Godgift</v>
      </c>
      <c r="Q71" s="24" t="str">
        <f>IFERROR(__xludf.DUMMYFUNCTION("IFERROR(INDEX(SPLIT(IF(REGEXMATCH(SWITCH($B$13,""Feu"",'Recensement DPS'!C15,""Glace"",'Recensement DPS'!E15,""Vent"",'Recensement DPS'!G15,""Terre"",'Recensement DPS'!I15,""Lumière"",'Recensement DPS'!K15,""Ténèbres"",'Recensement DPS'!M15,""Foudre"",'Re"&amp;"censement DPS'!O15),""/""),SWITCH($B$13,""Feu"",'Recensement DPS'!C15,""Glace"",'Recensement DPS'!E15,""Vent"",'Recensement DPS'!G15,""Terre"",'Recensement DPS'!I15,""Lumière"",'Recensement DPS'!K15,""Ténèbres"",'Recensement DPS'!M15,""Foudre"",'Recenseme"&amp;"nt DPS'!O15),REGEXREPLACE(SWITCH($B$13,""Feu"",'Recensement DPS'!C15,""Glace"",'Recensement DPS'!E15,""Vent"",'Recensement DPS'!G15,""Terre"",'Recensement DPS'!I15,""Lumière"",'Recensement DPS'!K15,""Ténèbres"",'Recensement DPS'!M15,""Foudre"",'Recensemen"&amp;"t DPS'!O15),""(?i)(P[0-9]+)\s+"",""$1 / "")),"" / "",FALSE,TRUE),1,2),"""")"),"")</f>
        <v/>
      </c>
      <c r="R71" s="24" t="str">
        <f>IFERROR(__xludf.DUMMYFUNCTION("IF(Q71="""","""",IFERROR(VALUE(REGEXEXTRACT(Q71,""(?i)P\s*([0-9]+)"")),""""))"),"")</f>
        <v/>
      </c>
    </row>
    <row r="72" ht="15.75" customHeight="1">
      <c r="A72" s="17" t="str">
        <f t="shared" si="1"/>
        <v/>
      </c>
      <c r="B72" s="23"/>
      <c r="C72" s="23"/>
      <c r="D72" s="23"/>
      <c r="P72" s="24" t="str">
        <f>'Recensement DPS'!A15</f>
        <v>Godgift</v>
      </c>
      <c r="Q72" s="24" t="str">
        <f>IFERROR(__xludf.DUMMYFUNCTION("IFERROR(INDEX(SPLIT(IF(REGEXMATCH(SWITCH($B$13,""Feu"",'Recensement DPS'!C15,""Glace"",'Recensement DPS'!E15,""Vent"",'Recensement DPS'!G15,""Terre"",'Recensement DPS'!I15,""Lumière"",'Recensement DPS'!K15,""Ténèbres"",'Recensement DPS'!M15,""Foudre"",'Re"&amp;"censement DPS'!O15),""/""),SWITCH($B$13,""Feu"",'Recensement DPS'!C15,""Glace"",'Recensement DPS'!E15,""Vent"",'Recensement DPS'!G15,""Terre"",'Recensement DPS'!I15,""Lumière"",'Recensement DPS'!K15,""Ténèbres"",'Recensement DPS'!M15,""Foudre"",'Recenseme"&amp;"nt DPS'!O15),REGEXREPLACE(SWITCH($B$13,""Feu"",'Recensement DPS'!C15,""Glace"",'Recensement DPS'!E15,""Vent"",'Recensement DPS'!G15,""Terre"",'Recensement DPS'!I15,""Lumière"",'Recensement DPS'!K15,""Ténèbres"",'Recensement DPS'!M15,""Foudre"",'Recensemen"&amp;"t DPS'!O15),""(?i)(P[0-9]+)\s+"",""$1 / "")),"" / "",FALSE,TRUE),1,3),"""")"),"")</f>
        <v/>
      </c>
      <c r="R72" s="24" t="str">
        <f>IFERROR(__xludf.DUMMYFUNCTION("IF(Q72="""","""",IFERROR(VALUE(REGEXEXTRACT(Q72,""(?i)P\s*([0-9]+)"")),""""))"),"")</f>
        <v/>
      </c>
    </row>
    <row r="73" ht="15.75" customHeight="1">
      <c r="A73" s="14" t="str">
        <f t="shared" si="1"/>
        <v/>
      </c>
      <c r="B73" s="23"/>
      <c r="C73" s="23"/>
      <c r="D73" s="23"/>
      <c r="P73" s="24" t="str">
        <f>'Recensement DPS'!A15</f>
        <v>Godgift</v>
      </c>
      <c r="Q73" s="24" t="str">
        <f>IFERROR(__xludf.DUMMYFUNCTION("IFERROR(INDEX(SPLIT(IF(REGEXMATCH(SWITCH($B$13,""Feu"",'Recensement DPS'!C15,""Glace"",'Recensement DPS'!E15,""Vent"",'Recensement DPS'!G15,""Terre"",'Recensement DPS'!I15,""Lumière"",'Recensement DPS'!K15,""Ténèbres"",'Recensement DPS'!M15,""Foudre"",'Re"&amp;"censement DPS'!O15),""/""),SWITCH($B$13,""Feu"",'Recensement DPS'!C15,""Glace"",'Recensement DPS'!E15,""Vent"",'Recensement DPS'!G15,""Terre"",'Recensement DPS'!I15,""Lumière"",'Recensement DPS'!K15,""Ténèbres"",'Recensement DPS'!M15,""Foudre"",'Recenseme"&amp;"nt DPS'!O15),REGEXREPLACE(SWITCH($B$13,""Feu"",'Recensement DPS'!C15,""Glace"",'Recensement DPS'!E15,""Vent"",'Recensement DPS'!G15,""Terre"",'Recensement DPS'!I15,""Lumière"",'Recensement DPS'!K15,""Ténèbres"",'Recensement DPS'!M15,""Foudre"",'Recensemen"&amp;"t DPS'!O15),""(?i)(P[0-9]+)\s+"",""$1 / "")),"" / "",FALSE,TRUE),1,4),"""")"),"")</f>
        <v/>
      </c>
      <c r="R73" s="24" t="str">
        <f>IFERROR(__xludf.DUMMYFUNCTION("IF(Q73="""","""",IFERROR(VALUE(REGEXEXTRACT(Q73,""(?i)P\s*([0-9]+)"")),""""))"),"")</f>
        <v/>
      </c>
    </row>
    <row r="74" ht="15.75" customHeight="1">
      <c r="A74" s="17" t="str">
        <f t="shared" si="1"/>
        <v/>
      </c>
      <c r="B74" s="23"/>
      <c r="C74" s="23"/>
      <c r="D74" s="23"/>
      <c r="P74" s="24" t="str">
        <f>'Recensement DPS'!A15</f>
        <v>Godgift</v>
      </c>
      <c r="Q74" s="24" t="str">
        <f>IFERROR(__xludf.DUMMYFUNCTION("IFERROR(INDEX(SPLIT(IF(REGEXMATCH(SWITCH($B$13,""Feu"",'Recensement DPS'!C15,""Glace"",'Recensement DPS'!E15,""Vent"",'Recensement DPS'!G15,""Terre"",'Recensement DPS'!I15,""Lumière"",'Recensement DPS'!K15,""Ténèbres"",'Recensement DPS'!M15,""Foudre"",'Re"&amp;"censement DPS'!O15),""/""),SWITCH($B$13,""Feu"",'Recensement DPS'!C15,""Glace"",'Recensement DPS'!E15,""Vent"",'Recensement DPS'!G15,""Terre"",'Recensement DPS'!I15,""Lumière"",'Recensement DPS'!K15,""Ténèbres"",'Recensement DPS'!M15,""Foudre"",'Recenseme"&amp;"nt DPS'!O15),REGEXREPLACE(SWITCH($B$13,""Feu"",'Recensement DPS'!C15,""Glace"",'Recensement DPS'!E15,""Vent"",'Recensement DPS'!G15,""Terre"",'Recensement DPS'!I15,""Lumière"",'Recensement DPS'!K15,""Ténèbres"",'Recensement DPS'!M15,""Foudre"",'Recensemen"&amp;"t DPS'!O15),""(?i)(P[0-9]+)\s+"",""$1 / "")),"" / "",FALSE,TRUE),1,5),"""")"),"")</f>
        <v/>
      </c>
      <c r="R74" s="24" t="str">
        <f>IFERROR(__xludf.DUMMYFUNCTION("IF(Q74="""","""",IFERROR(VALUE(REGEXEXTRACT(Q74,""(?i)P\s*([0-9]+)"")),""""))"),"")</f>
        <v/>
      </c>
    </row>
    <row r="75" ht="15.75" customHeight="1">
      <c r="A75" s="14" t="str">
        <f t="shared" si="1"/>
        <v/>
      </c>
      <c r="B75" s="23"/>
      <c r="C75" s="23"/>
      <c r="D75" s="23"/>
      <c r="P75" s="24" t="str">
        <f>'Recensement DPS'!A16</f>
        <v>iKeaght</v>
      </c>
      <c r="Q75" s="24" t="str">
        <f>IFERROR(__xludf.DUMMYFUNCTION("IFERROR(INDEX(SPLIT(IF(REGEXMATCH(SWITCH($B$13,""Feu"",'Recensement DPS'!C16,""Glace"",'Recensement DPS'!E16,""Vent"",'Recensement DPS'!G16,""Terre"",'Recensement DPS'!I16,""Lumière"",'Recensement DPS'!K16,""Ténèbres"",'Recensement DPS'!M16,""Foudre"",'Re"&amp;"censement DPS'!O16),""/""),SWITCH($B$13,""Feu"",'Recensement DPS'!C16,""Glace"",'Recensement DPS'!E16,""Vent"",'Recensement DPS'!G16,""Terre"",'Recensement DPS'!I16,""Lumière"",'Recensement DPS'!K16,""Ténèbres"",'Recensement DPS'!M16,""Foudre"",'Recenseme"&amp;"nt DPS'!O16),REGEXREPLACE(SWITCH($B$13,""Feu"",'Recensement DPS'!C16,""Glace"",'Recensement DPS'!E16,""Vent"",'Recensement DPS'!G16,""Terre"",'Recensement DPS'!I16,""Lumière"",'Recensement DPS'!K16,""Ténèbres"",'Recensement DPS'!M16,""Foudre"",'Recensemen"&amp;"t DPS'!O16),""(?i)(P[0-9]+)\s+"",""$1 / "")),"" / "",FALSE,TRUE),1,1),"""")"),"")</f>
        <v/>
      </c>
      <c r="R75" s="24" t="str">
        <f>IFERROR(__xludf.DUMMYFUNCTION("IF(Q75="""","""",IFERROR(VALUE(REGEXEXTRACT(Q75,""(?i)P\s*([0-9]+)"")),""""))"),"")</f>
        <v/>
      </c>
    </row>
    <row r="76" ht="15.75" customHeight="1">
      <c r="A76" s="17" t="str">
        <f t="shared" si="1"/>
        <v/>
      </c>
      <c r="B76" s="23"/>
      <c r="C76" s="23"/>
      <c r="D76" s="23"/>
      <c r="P76" s="24" t="str">
        <f>'Recensement DPS'!A16</f>
        <v>iKeaght</v>
      </c>
      <c r="Q76" s="24" t="str">
        <f>IFERROR(__xludf.DUMMYFUNCTION("IFERROR(INDEX(SPLIT(IF(REGEXMATCH(SWITCH($B$13,""Feu"",'Recensement DPS'!C16,""Glace"",'Recensement DPS'!E16,""Vent"",'Recensement DPS'!G16,""Terre"",'Recensement DPS'!I16,""Lumière"",'Recensement DPS'!K16,""Ténèbres"",'Recensement DPS'!M16,""Foudre"",'Re"&amp;"censement DPS'!O16),""/""),SWITCH($B$13,""Feu"",'Recensement DPS'!C16,""Glace"",'Recensement DPS'!E16,""Vent"",'Recensement DPS'!G16,""Terre"",'Recensement DPS'!I16,""Lumière"",'Recensement DPS'!K16,""Ténèbres"",'Recensement DPS'!M16,""Foudre"",'Recenseme"&amp;"nt DPS'!O16),REGEXREPLACE(SWITCH($B$13,""Feu"",'Recensement DPS'!C16,""Glace"",'Recensement DPS'!E16,""Vent"",'Recensement DPS'!G16,""Terre"",'Recensement DPS'!I16,""Lumière"",'Recensement DPS'!K16,""Ténèbres"",'Recensement DPS'!M16,""Foudre"",'Recensemen"&amp;"t DPS'!O16),""(?i)(P[0-9]+)\s+"",""$1 / "")),"" / "",FALSE,TRUE),1,2),"""")"),"")</f>
        <v/>
      </c>
      <c r="R76" s="24" t="str">
        <f>IFERROR(__xludf.DUMMYFUNCTION("IF(Q76="""","""",IFERROR(VALUE(REGEXEXTRACT(Q76,""(?i)P\s*([0-9]+)"")),""""))"),"")</f>
        <v/>
      </c>
    </row>
    <row r="77" ht="15.75" customHeight="1">
      <c r="A77" s="14" t="str">
        <f t="shared" si="1"/>
        <v/>
      </c>
      <c r="B77" s="23"/>
      <c r="C77" s="23"/>
      <c r="D77" s="23"/>
      <c r="P77" s="24" t="str">
        <f>'Recensement DPS'!A16</f>
        <v>iKeaght</v>
      </c>
      <c r="Q77" s="24" t="str">
        <f>IFERROR(__xludf.DUMMYFUNCTION("IFERROR(INDEX(SPLIT(IF(REGEXMATCH(SWITCH($B$13,""Feu"",'Recensement DPS'!C16,""Glace"",'Recensement DPS'!E16,""Vent"",'Recensement DPS'!G16,""Terre"",'Recensement DPS'!I16,""Lumière"",'Recensement DPS'!K16,""Ténèbres"",'Recensement DPS'!M16,""Foudre"",'Re"&amp;"censement DPS'!O16),""/""),SWITCH($B$13,""Feu"",'Recensement DPS'!C16,""Glace"",'Recensement DPS'!E16,""Vent"",'Recensement DPS'!G16,""Terre"",'Recensement DPS'!I16,""Lumière"",'Recensement DPS'!K16,""Ténèbres"",'Recensement DPS'!M16,""Foudre"",'Recenseme"&amp;"nt DPS'!O16),REGEXREPLACE(SWITCH($B$13,""Feu"",'Recensement DPS'!C16,""Glace"",'Recensement DPS'!E16,""Vent"",'Recensement DPS'!G16,""Terre"",'Recensement DPS'!I16,""Lumière"",'Recensement DPS'!K16,""Ténèbres"",'Recensement DPS'!M16,""Foudre"",'Recensemen"&amp;"t DPS'!O16),""(?i)(P[0-9]+)\s+"",""$1 / "")),"" / "",FALSE,TRUE),1,3),"""")"),"")</f>
        <v/>
      </c>
      <c r="R77" s="24" t="str">
        <f>IFERROR(__xludf.DUMMYFUNCTION("IF(Q77="""","""",IFERROR(VALUE(REGEXEXTRACT(Q77,""(?i)P\s*([0-9]+)"")),""""))"),"")</f>
        <v/>
      </c>
    </row>
    <row r="78" ht="15.75" customHeight="1">
      <c r="A78" s="17" t="str">
        <f t="shared" si="1"/>
        <v/>
      </c>
      <c r="B78" s="23"/>
      <c r="C78" s="23"/>
      <c r="D78" s="23"/>
      <c r="P78" s="24" t="str">
        <f>'Recensement DPS'!A16</f>
        <v>iKeaght</v>
      </c>
      <c r="Q78" s="24" t="str">
        <f>IFERROR(__xludf.DUMMYFUNCTION("IFERROR(INDEX(SPLIT(IF(REGEXMATCH(SWITCH($B$13,""Feu"",'Recensement DPS'!C16,""Glace"",'Recensement DPS'!E16,""Vent"",'Recensement DPS'!G16,""Terre"",'Recensement DPS'!I16,""Lumière"",'Recensement DPS'!K16,""Ténèbres"",'Recensement DPS'!M16,""Foudre"",'Re"&amp;"censement DPS'!O16),""/""),SWITCH($B$13,""Feu"",'Recensement DPS'!C16,""Glace"",'Recensement DPS'!E16,""Vent"",'Recensement DPS'!G16,""Terre"",'Recensement DPS'!I16,""Lumière"",'Recensement DPS'!K16,""Ténèbres"",'Recensement DPS'!M16,""Foudre"",'Recenseme"&amp;"nt DPS'!O16),REGEXREPLACE(SWITCH($B$13,""Feu"",'Recensement DPS'!C16,""Glace"",'Recensement DPS'!E16,""Vent"",'Recensement DPS'!G16,""Terre"",'Recensement DPS'!I16,""Lumière"",'Recensement DPS'!K16,""Ténèbres"",'Recensement DPS'!M16,""Foudre"",'Recensemen"&amp;"t DPS'!O16),""(?i)(P[0-9]+)\s+"",""$1 / "")),"" / "",FALSE,TRUE),1,4),"""")"),"")</f>
        <v/>
      </c>
      <c r="R78" s="24" t="str">
        <f>IFERROR(__xludf.DUMMYFUNCTION("IF(Q78="""","""",IFERROR(VALUE(REGEXEXTRACT(Q78,""(?i)P\s*([0-9]+)"")),""""))"),"")</f>
        <v/>
      </c>
    </row>
    <row r="79" ht="15.75" customHeight="1">
      <c r="A79" s="14" t="str">
        <f t="shared" si="1"/>
        <v/>
      </c>
      <c r="B79" s="23"/>
      <c r="C79" s="23"/>
      <c r="D79" s="23"/>
      <c r="P79" s="24" t="str">
        <f>'Recensement DPS'!A16</f>
        <v>iKeaght</v>
      </c>
      <c r="Q79" s="24" t="str">
        <f>IFERROR(__xludf.DUMMYFUNCTION("IFERROR(INDEX(SPLIT(IF(REGEXMATCH(SWITCH($B$13,""Feu"",'Recensement DPS'!C16,""Glace"",'Recensement DPS'!E16,""Vent"",'Recensement DPS'!G16,""Terre"",'Recensement DPS'!I16,""Lumière"",'Recensement DPS'!K16,""Ténèbres"",'Recensement DPS'!M16,""Foudre"",'Re"&amp;"censement DPS'!O16),""/""),SWITCH($B$13,""Feu"",'Recensement DPS'!C16,""Glace"",'Recensement DPS'!E16,""Vent"",'Recensement DPS'!G16,""Terre"",'Recensement DPS'!I16,""Lumière"",'Recensement DPS'!K16,""Ténèbres"",'Recensement DPS'!M16,""Foudre"",'Recenseme"&amp;"nt DPS'!O16),REGEXREPLACE(SWITCH($B$13,""Feu"",'Recensement DPS'!C16,""Glace"",'Recensement DPS'!E16,""Vent"",'Recensement DPS'!G16,""Terre"",'Recensement DPS'!I16,""Lumière"",'Recensement DPS'!K16,""Ténèbres"",'Recensement DPS'!M16,""Foudre"",'Recensemen"&amp;"t DPS'!O16),""(?i)(P[0-9]+)\s+"",""$1 / "")),"" / "",FALSE,TRUE),1,5),"""")"),"")</f>
        <v/>
      </c>
      <c r="R79" s="24" t="str">
        <f>IFERROR(__xludf.DUMMYFUNCTION("IF(Q79="""","""",IFERROR(VALUE(REGEXEXTRACT(Q79,""(?i)P\s*([0-9]+)"")),""""))"),"")</f>
        <v/>
      </c>
    </row>
    <row r="80" ht="15.75" customHeight="1">
      <c r="A80" s="17" t="str">
        <f t="shared" si="1"/>
        <v/>
      </c>
      <c r="B80" s="23"/>
      <c r="C80" s="23"/>
      <c r="D80" s="23"/>
      <c r="P80" s="24" t="str">
        <f>'Recensement DPS'!A17</f>
        <v>Jinwoo</v>
      </c>
      <c r="Q80" s="24" t="str">
        <f>IFERROR(__xludf.DUMMYFUNCTION("IFERROR(INDEX(SPLIT(IF(REGEXMATCH(SWITCH($B$13,""Feu"",'Recensement DPS'!C17,""Glace"",'Recensement DPS'!E17,""Vent"",'Recensement DPS'!G17,""Terre"",'Recensement DPS'!I17,""Lumière"",'Recensement DPS'!K17,""Ténèbres"",'Recensement DPS'!M17,""Foudre"",'Re"&amp;"censement DPS'!O17),""/""),SWITCH($B$13,""Feu"",'Recensement DPS'!C17,""Glace"",'Recensement DPS'!E17,""Vent"",'Recensement DPS'!G17,""Terre"",'Recensement DPS'!I17,""Lumière"",'Recensement DPS'!K17,""Ténèbres"",'Recensement DPS'!M17,""Foudre"",'Recenseme"&amp;"nt DPS'!O17),REGEXREPLACE(SWITCH($B$13,""Feu"",'Recensement DPS'!C17,""Glace"",'Recensement DPS'!E17,""Vent"",'Recensement DPS'!G17,""Terre"",'Recensement DPS'!I17,""Lumière"",'Recensement DPS'!K17,""Ténèbres"",'Recensement DPS'!M17,""Foudre"",'Recensemen"&amp;"t DPS'!O17),""(?i)(P[0-9]+)\s+"",""$1 / "")),"" / "",FALSE,TRUE),1,1),"""")"),"")</f>
        <v/>
      </c>
      <c r="R80" s="24" t="str">
        <f>IFERROR(__xludf.DUMMYFUNCTION("IF(Q80="""","""",IFERROR(VALUE(REGEXEXTRACT(Q80,""(?i)P\s*([0-9]+)"")),""""))"),"")</f>
        <v/>
      </c>
    </row>
    <row r="81" ht="15.75" customHeight="1">
      <c r="A81" s="14" t="str">
        <f t="shared" si="1"/>
        <v/>
      </c>
      <c r="B81" s="23"/>
      <c r="C81" s="23"/>
      <c r="D81" s="23"/>
      <c r="P81" s="24" t="str">
        <f>'Recensement DPS'!A17</f>
        <v>Jinwoo</v>
      </c>
      <c r="Q81" s="24" t="str">
        <f>IFERROR(__xludf.DUMMYFUNCTION("IFERROR(INDEX(SPLIT(IF(REGEXMATCH(SWITCH($B$13,""Feu"",'Recensement DPS'!C17,""Glace"",'Recensement DPS'!E17,""Vent"",'Recensement DPS'!G17,""Terre"",'Recensement DPS'!I17,""Lumière"",'Recensement DPS'!K17,""Ténèbres"",'Recensement DPS'!M17,""Foudre"",'Re"&amp;"censement DPS'!O17),""/""),SWITCH($B$13,""Feu"",'Recensement DPS'!C17,""Glace"",'Recensement DPS'!E17,""Vent"",'Recensement DPS'!G17,""Terre"",'Recensement DPS'!I17,""Lumière"",'Recensement DPS'!K17,""Ténèbres"",'Recensement DPS'!M17,""Foudre"",'Recenseme"&amp;"nt DPS'!O17),REGEXREPLACE(SWITCH($B$13,""Feu"",'Recensement DPS'!C17,""Glace"",'Recensement DPS'!E17,""Vent"",'Recensement DPS'!G17,""Terre"",'Recensement DPS'!I17,""Lumière"",'Recensement DPS'!K17,""Ténèbres"",'Recensement DPS'!M17,""Foudre"",'Recensemen"&amp;"t DPS'!O17),""(?i)(P[0-9]+)\s+"",""$1 / "")),"" / "",FALSE,TRUE),1,2),"""")"),"")</f>
        <v/>
      </c>
      <c r="R81" s="24" t="str">
        <f>IFERROR(__xludf.DUMMYFUNCTION("IF(Q81="""","""",IFERROR(VALUE(REGEXEXTRACT(Q81,""(?i)P\s*([0-9]+)"")),""""))"),"")</f>
        <v/>
      </c>
    </row>
    <row r="82" ht="15.75" customHeight="1">
      <c r="A82" s="17" t="str">
        <f t="shared" si="1"/>
        <v/>
      </c>
      <c r="B82" s="23"/>
      <c r="C82" s="23"/>
      <c r="D82" s="23"/>
      <c r="P82" s="24" t="str">
        <f>'Recensement DPS'!A17</f>
        <v>Jinwoo</v>
      </c>
      <c r="Q82" s="24" t="str">
        <f>IFERROR(__xludf.DUMMYFUNCTION("IFERROR(INDEX(SPLIT(IF(REGEXMATCH(SWITCH($B$13,""Feu"",'Recensement DPS'!C17,""Glace"",'Recensement DPS'!E17,""Vent"",'Recensement DPS'!G17,""Terre"",'Recensement DPS'!I17,""Lumière"",'Recensement DPS'!K17,""Ténèbres"",'Recensement DPS'!M17,""Foudre"",'Re"&amp;"censement DPS'!O17),""/""),SWITCH($B$13,""Feu"",'Recensement DPS'!C17,""Glace"",'Recensement DPS'!E17,""Vent"",'Recensement DPS'!G17,""Terre"",'Recensement DPS'!I17,""Lumière"",'Recensement DPS'!K17,""Ténèbres"",'Recensement DPS'!M17,""Foudre"",'Recenseme"&amp;"nt DPS'!O17),REGEXREPLACE(SWITCH($B$13,""Feu"",'Recensement DPS'!C17,""Glace"",'Recensement DPS'!E17,""Vent"",'Recensement DPS'!G17,""Terre"",'Recensement DPS'!I17,""Lumière"",'Recensement DPS'!K17,""Ténèbres"",'Recensement DPS'!M17,""Foudre"",'Recensemen"&amp;"t DPS'!O17),""(?i)(P[0-9]+)\s+"",""$1 / "")),"" / "",FALSE,TRUE),1,3),"""")"),"")</f>
        <v/>
      </c>
      <c r="R82" s="24" t="str">
        <f>IFERROR(__xludf.DUMMYFUNCTION("IF(Q82="""","""",IFERROR(VALUE(REGEXEXTRACT(Q82,""(?i)P\s*([0-9]+)"")),""""))"),"")</f>
        <v/>
      </c>
    </row>
    <row r="83" ht="15.75" customHeight="1">
      <c r="A83" s="14" t="str">
        <f t="shared" si="1"/>
        <v/>
      </c>
      <c r="B83" s="23"/>
      <c r="C83" s="23"/>
      <c r="D83" s="23"/>
      <c r="P83" s="24" t="str">
        <f>'Recensement DPS'!A17</f>
        <v>Jinwoo</v>
      </c>
      <c r="Q83" s="24" t="str">
        <f>IFERROR(__xludf.DUMMYFUNCTION("IFERROR(INDEX(SPLIT(IF(REGEXMATCH(SWITCH($B$13,""Feu"",'Recensement DPS'!C17,""Glace"",'Recensement DPS'!E17,""Vent"",'Recensement DPS'!G17,""Terre"",'Recensement DPS'!I17,""Lumière"",'Recensement DPS'!K17,""Ténèbres"",'Recensement DPS'!M17,""Foudre"",'Re"&amp;"censement DPS'!O17),""/""),SWITCH($B$13,""Feu"",'Recensement DPS'!C17,""Glace"",'Recensement DPS'!E17,""Vent"",'Recensement DPS'!G17,""Terre"",'Recensement DPS'!I17,""Lumière"",'Recensement DPS'!K17,""Ténèbres"",'Recensement DPS'!M17,""Foudre"",'Recenseme"&amp;"nt DPS'!O17),REGEXREPLACE(SWITCH($B$13,""Feu"",'Recensement DPS'!C17,""Glace"",'Recensement DPS'!E17,""Vent"",'Recensement DPS'!G17,""Terre"",'Recensement DPS'!I17,""Lumière"",'Recensement DPS'!K17,""Ténèbres"",'Recensement DPS'!M17,""Foudre"",'Recensemen"&amp;"t DPS'!O17),""(?i)(P[0-9]+)\s+"",""$1 / "")),"" / "",FALSE,TRUE),1,4),"""")"),"")</f>
        <v/>
      </c>
      <c r="R83" s="24" t="str">
        <f>IFERROR(__xludf.DUMMYFUNCTION("IF(Q83="""","""",IFERROR(VALUE(REGEXEXTRACT(Q83,""(?i)P\s*([0-9]+)"")),""""))"),"")</f>
        <v/>
      </c>
    </row>
    <row r="84" ht="15.75" customHeight="1">
      <c r="A84" s="17" t="str">
        <f t="shared" si="1"/>
        <v/>
      </c>
      <c r="B84" s="23"/>
      <c r="C84" s="23"/>
      <c r="D84" s="23"/>
      <c r="P84" s="24" t="str">
        <f>'Recensement DPS'!A17</f>
        <v>Jinwoo</v>
      </c>
      <c r="Q84" s="24" t="str">
        <f>IFERROR(__xludf.DUMMYFUNCTION("IFERROR(INDEX(SPLIT(IF(REGEXMATCH(SWITCH($B$13,""Feu"",'Recensement DPS'!C17,""Glace"",'Recensement DPS'!E17,""Vent"",'Recensement DPS'!G17,""Terre"",'Recensement DPS'!I17,""Lumière"",'Recensement DPS'!K17,""Ténèbres"",'Recensement DPS'!M17,""Foudre"",'Re"&amp;"censement DPS'!O17),""/""),SWITCH($B$13,""Feu"",'Recensement DPS'!C17,""Glace"",'Recensement DPS'!E17,""Vent"",'Recensement DPS'!G17,""Terre"",'Recensement DPS'!I17,""Lumière"",'Recensement DPS'!K17,""Ténèbres"",'Recensement DPS'!M17,""Foudre"",'Recenseme"&amp;"nt DPS'!O17),REGEXREPLACE(SWITCH($B$13,""Feu"",'Recensement DPS'!C17,""Glace"",'Recensement DPS'!E17,""Vent"",'Recensement DPS'!G17,""Terre"",'Recensement DPS'!I17,""Lumière"",'Recensement DPS'!K17,""Ténèbres"",'Recensement DPS'!M17,""Foudre"",'Recensemen"&amp;"t DPS'!O17),""(?i)(P[0-9]+)\s+"",""$1 / "")),"" / "",FALSE,TRUE),1,5),"""")"),"")</f>
        <v/>
      </c>
      <c r="R84" s="24" t="str">
        <f>IFERROR(__xludf.DUMMYFUNCTION("IF(Q84="""","""",IFERROR(VALUE(REGEXEXTRACT(Q84,""(?i)P\s*([0-9]+)"")),""""))"),"")</f>
        <v/>
      </c>
    </row>
    <row r="85" ht="15.75" customHeight="1">
      <c r="A85" s="14" t="str">
        <f t="shared" si="1"/>
        <v/>
      </c>
      <c r="B85" s="23"/>
      <c r="C85" s="23"/>
      <c r="D85" s="23"/>
      <c r="P85" s="24" t="str">
        <f>'Recensement DPS'!A18</f>
        <v>Kirisaka</v>
      </c>
      <c r="Q85" s="24" t="str">
        <f>IFERROR(__xludf.DUMMYFUNCTION("IFERROR(INDEX(SPLIT(IF(REGEXMATCH(SWITCH($B$13,""Feu"",'Recensement DPS'!C18,""Glace"",'Recensement DPS'!E18,""Vent"",'Recensement DPS'!G18,""Terre"",'Recensement DPS'!I18,""Lumière"",'Recensement DPS'!K18,""Ténèbres"",'Recensement DPS'!M18,""Foudre"",'Re"&amp;"censement DPS'!O18),""/""),SWITCH($B$13,""Feu"",'Recensement DPS'!C18,""Glace"",'Recensement DPS'!E18,""Vent"",'Recensement DPS'!G18,""Terre"",'Recensement DPS'!I18,""Lumière"",'Recensement DPS'!K18,""Ténèbres"",'Recensement DPS'!M18,""Foudre"",'Recenseme"&amp;"nt DPS'!O18),REGEXREPLACE(SWITCH($B$13,""Feu"",'Recensement DPS'!C18,""Glace"",'Recensement DPS'!E18,""Vent"",'Recensement DPS'!G18,""Terre"",'Recensement DPS'!I18,""Lumière"",'Recensement DPS'!K18,""Ténèbres"",'Recensement DPS'!M18,""Foudre"",'Recensemen"&amp;"t DPS'!O18),""(?i)(P[0-9]+)\s+"",""$1 / "")),"" / "",FALSE,TRUE),1,1),"""")"),"")</f>
        <v/>
      </c>
      <c r="R85" s="24" t="str">
        <f>IFERROR(__xludf.DUMMYFUNCTION("IF(Q85="""","""",IFERROR(VALUE(REGEXEXTRACT(Q85,""(?i)P\s*([0-9]+)"")),""""))"),"")</f>
        <v/>
      </c>
    </row>
    <row r="86" ht="15.75" customHeight="1">
      <c r="A86" s="17" t="str">
        <f t="shared" si="1"/>
        <v/>
      </c>
      <c r="B86" s="23"/>
      <c r="C86" s="23"/>
      <c r="D86" s="23"/>
      <c r="P86" s="24" t="str">
        <f>'Recensement DPS'!A18</f>
        <v>Kirisaka</v>
      </c>
      <c r="Q86" s="24" t="str">
        <f>IFERROR(__xludf.DUMMYFUNCTION("IFERROR(INDEX(SPLIT(IF(REGEXMATCH(SWITCH($B$13,""Feu"",'Recensement DPS'!C18,""Glace"",'Recensement DPS'!E18,""Vent"",'Recensement DPS'!G18,""Terre"",'Recensement DPS'!I18,""Lumière"",'Recensement DPS'!K18,""Ténèbres"",'Recensement DPS'!M18,""Foudre"",'Re"&amp;"censement DPS'!O18),""/""),SWITCH($B$13,""Feu"",'Recensement DPS'!C18,""Glace"",'Recensement DPS'!E18,""Vent"",'Recensement DPS'!G18,""Terre"",'Recensement DPS'!I18,""Lumière"",'Recensement DPS'!K18,""Ténèbres"",'Recensement DPS'!M18,""Foudre"",'Recenseme"&amp;"nt DPS'!O18),REGEXREPLACE(SWITCH($B$13,""Feu"",'Recensement DPS'!C18,""Glace"",'Recensement DPS'!E18,""Vent"",'Recensement DPS'!G18,""Terre"",'Recensement DPS'!I18,""Lumière"",'Recensement DPS'!K18,""Ténèbres"",'Recensement DPS'!M18,""Foudre"",'Recensemen"&amp;"t DPS'!O18),""(?i)(P[0-9]+)\s+"",""$1 / "")),"" / "",FALSE,TRUE),1,2),"""")"),"")</f>
        <v/>
      </c>
      <c r="R86" s="24" t="str">
        <f>IFERROR(__xludf.DUMMYFUNCTION("IF(Q86="""","""",IFERROR(VALUE(REGEXEXTRACT(Q86,""(?i)P\s*([0-9]+)"")),""""))"),"")</f>
        <v/>
      </c>
    </row>
    <row r="87" ht="15.75" customHeight="1">
      <c r="A87" s="14" t="str">
        <f t="shared" si="1"/>
        <v/>
      </c>
      <c r="B87" s="23"/>
      <c r="C87" s="23"/>
      <c r="D87" s="23"/>
      <c r="P87" s="24" t="str">
        <f>'Recensement DPS'!A18</f>
        <v>Kirisaka</v>
      </c>
      <c r="Q87" s="24" t="str">
        <f>IFERROR(__xludf.DUMMYFUNCTION("IFERROR(INDEX(SPLIT(IF(REGEXMATCH(SWITCH($B$13,""Feu"",'Recensement DPS'!C18,""Glace"",'Recensement DPS'!E18,""Vent"",'Recensement DPS'!G18,""Terre"",'Recensement DPS'!I18,""Lumière"",'Recensement DPS'!K18,""Ténèbres"",'Recensement DPS'!M18,""Foudre"",'Re"&amp;"censement DPS'!O18),""/""),SWITCH($B$13,""Feu"",'Recensement DPS'!C18,""Glace"",'Recensement DPS'!E18,""Vent"",'Recensement DPS'!G18,""Terre"",'Recensement DPS'!I18,""Lumière"",'Recensement DPS'!K18,""Ténèbres"",'Recensement DPS'!M18,""Foudre"",'Recenseme"&amp;"nt DPS'!O18),REGEXREPLACE(SWITCH($B$13,""Feu"",'Recensement DPS'!C18,""Glace"",'Recensement DPS'!E18,""Vent"",'Recensement DPS'!G18,""Terre"",'Recensement DPS'!I18,""Lumière"",'Recensement DPS'!K18,""Ténèbres"",'Recensement DPS'!M18,""Foudre"",'Recensemen"&amp;"t DPS'!O18),""(?i)(P[0-9]+)\s+"",""$1 / "")),"" / "",FALSE,TRUE),1,3),"""")"),"")</f>
        <v/>
      </c>
      <c r="R87" s="24" t="str">
        <f>IFERROR(__xludf.DUMMYFUNCTION("IF(Q87="""","""",IFERROR(VALUE(REGEXEXTRACT(Q87,""(?i)P\s*([0-9]+)"")),""""))"),"")</f>
        <v/>
      </c>
    </row>
    <row r="88" ht="15.75" customHeight="1">
      <c r="A88" s="17" t="str">
        <f t="shared" si="1"/>
        <v/>
      </c>
      <c r="B88" s="23"/>
      <c r="C88" s="23"/>
      <c r="D88" s="23"/>
      <c r="P88" s="24" t="str">
        <f>'Recensement DPS'!A18</f>
        <v>Kirisaka</v>
      </c>
      <c r="Q88" s="24" t="str">
        <f>IFERROR(__xludf.DUMMYFUNCTION("IFERROR(INDEX(SPLIT(IF(REGEXMATCH(SWITCH($B$13,""Feu"",'Recensement DPS'!C18,""Glace"",'Recensement DPS'!E18,""Vent"",'Recensement DPS'!G18,""Terre"",'Recensement DPS'!I18,""Lumière"",'Recensement DPS'!K18,""Ténèbres"",'Recensement DPS'!M18,""Foudre"",'Re"&amp;"censement DPS'!O18),""/""),SWITCH($B$13,""Feu"",'Recensement DPS'!C18,""Glace"",'Recensement DPS'!E18,""Vent"",'Recensement DPS'!G18,""Terre"",'Recensement DPS'!I18,""Lumière"",'Recensement DPS'!K18,""Ténèbres"",'Recensement DPS'!M18,""Foudre"",'Recenseme"&amp;"nt DPS'!O18),REGEXREPLACE(SWITCH($B$13,""Feu"",'Recensement DPS'!C18,""Glace"",'Recensement DPS'!E18,""Vent"",'Recensement DPS'!G18,""Terre"",'Recensement DPS'!I18,""Lumière"",'Recensement DPS'!K18,""Ténèbres"",'Recensement DPS'!M18,""Foudre"",'Recensemen"&amp;"t DPS'!O18),""(?i)(P[0-9]+)\s+"",""$1 / "")),"" / "",FALSE,TRUE),1,4),"""")"),"")</f>
        <v/>
      </c>
      <c r="R88" s="24" t="str">
        <f>IFERROR(__xludf.DUMMYFUNCTION("IF(Q88="""","""",IFERROR(VALUE(REGEXEXTRACT(Q88,""(?i)P\s*([0-9]+)"")),""""))"),"")</f>
        <v/>
      </c>
    </row>
    <row r="89" ht="15.75" customHeight="1">
      <c r="A89" s="14" t="str">
        <f t="shared" si="1"/>
        <v/>
      </c>
      <c r="B89" s="23"/>
      <c r="C89" s="23"/>
      <c r="D89" s="23"/>
      <c r="P89" s="24" t="str">
        <f>'Recensement DPS'!A18</f>
        <v>Kirisaka</v>
      </c>
      <c r="Q89" s="24" t="str">
        <f>IFERROR(__xludf.DUMMYFUNCTION("IFERROR(INDEX(SPLIT(IF(REGEXMATCH(SWITCH($B$13,""Feu"",'Recensement DPS'!C18,""Glace"",'Recensement DPS'!E18,""Vent"",'Recensement DPS'!G18,""Terre"",'Recensement DPS'!I18,""Lumière"",'Recensement DPS'!K18,""Ténèbres"",'Recensement DPS'!M18,""Foudre"",'Re"&amp;"censement DPS'!O18),""/""),SWITCH($B$13,""Feu"",'Recensement DPS'!C18,""Glace"",'Recensement DPS'!E18,""Vent"",'Recensement DPS'!G18,""Terre"",'Recensement DPS'!I18,""Lumière"",'Recensement DPS'!K18,""Ténèbres"",'Recensement DPS'!M18,""Foudre"",'Recenseme"&amp;"nt DPS'!O18),REGEXREPLACE(SWITCH($B$13,""Feu"",'Recensement DPS'!C18,""Glace"",'Recensement DPS'!E18,""Vent"",'Recensement DPS'!G18,""Terre"",'Recensement DPS'!I18,""Lumière"",'Recensement DPS'!K18,""Ténèbres"",'Recensement DPS'!M18,""Foudre"",'Recensemen"&amp;"t DPS'!O18),""(?i)(P[0-9]+)\s+"",""$1 / "")),"" / "",FALSE,TRUE),1,5),"""")"),"")</f>
        <v/>
      </c>
      <c r="R89" s="24" t="str">
        <f>IFERROR(__xludf.DUMMYFUNCTION("IF(Q89="""","""",IFERROR(VALUE(REGEXEXTRACT(Q89,""(?i)P\s*([0-9]+)"")),""""))"),"")</f>
        <v/>
      </c>
    </row>
    <row r="90" ht="15.75" customHeight="1">
      <c r="A90" s="17" t="str">
        <f t="shared" si="1"/>
        <v/>
      </c>
      <c r="B90" s="23"/>
      <c r="C90" s="23"/>
      <c r="D90" s="23"/>
      <c r="P90" s="24" t="str">
        <f>'Recensement DPS'!A19</f>
        <v>MDK95</v>
      </c>
      <c r="Q90" s="24" t="str">
        <f>IFERROR(__xludf.DUMMYFUNCTION("IFERROR(INDEX(SPLIT(IF(REGEXMATCH(SWITCH($B$13,""Feu"",'Recensement DPS'!C19,""Glace"",'Recensement DPS'!E19,""Vent"",'Recensement DPS'!G19,""Terre"",'Recensement DPS'!I19,""Lumière"",'Recensement DPS'!K19,""Ténèbres"",'Recensement DPS'!M19,""Foudre"",'Re"&amp;"censement DPS'!O19),""/""),SWITCH($B$13,""Feu"",'Recensement DPS'!C19,""Glace"",'Recensement DPS'!E19,""Vent"",'Recensement DPS'!G19,""Terre"",'Recensement DPS'!I19,""Lumière"",'Recensement DPS'!K19,""Ténèbres"",'Recensement DPS'!M19,""Foudre"",'Recenseme"&amp;"nt DPS'!O19),REGEXREPLACE(SWITCH($B$13,""Feu"",'Recensement DPS'!C19,""Glace"",'Recensement DPS'!E19,""Vent"",'Recensement DPS'!G19,""Terre"",'Recensement DPS'!I19,""Lumière"",'Recensement DPS'!K19,""Ténèbres"",'Recensement DPS'!M19,""Foudre"",'Recensemen"&amp;"t DPS'!O19),""(?i)(P[0-9]+)\s+"",""$1 / "")),"" / "",FALSE,TRUE),1,1),"""")"),"")</f>
        <v/>
      </c>
      <c r="R90" s="24" t="str">
        <f>IFERROR(__xludf.DUMMYFUNCTION("IF(Q90="""","""",IFERROR(VALUE(REGEXEXTRACT(Q90,""(?i)P\s*([0-9]+)"")),""""))"),"")</f>
        <v/>
      </c>
    </row>
    <row r="91" ht="15.75" customHeight="1">
      <c r="A91" s="14" t="str">
        <f t="shared" si="1"/>
        <v/>
      </c>
      <c r="B91" s="23"/>
      <c r="C91" s="23"/>
      <c r="D91" s="23"/>
      <c r="P91" s="24" t="str">
        <f>'Recensement DPS'!A19</f>
        <v>MDK95</v>
      </c>
      <c r="Q91" s="24" t="str">
        <f>IFERROR(__xludf.DUMMYFUNCTION("IFERROR(INDEX(SPLIT(IF(REGEXMATCH(SWITCH($B$13,""Feu"",'Recensement DPS'!C19,""Glace"",'Recensement DPS'!E19,""Vent"",'Recensement DPS'!G19,""Terre"",'Recensement DPS'!I19,""Lumière"",'Recensement DPS'!K19,""Ténèbres"",'Recensement DPS'!M19,""Foudre"",'Re"&amp;"censement DPS'!O19),""/""),SWITCH($B$13,""Feu"",'Recensement DPS'!C19,""Glace"",'Recensement DPS'!E19,""Vent"",'Recensement DPS'!G19,""Terre"",'Recensement DPS'!I19,""Lumière"",'Recensement DPS'!K19,""Ténèbres"",'Recensement DPS'!M19,""Foudre"",'Recenseme"&amp;"nt DPS'!O19),REGEXREPLACE(SWITCH($B$13,""Feu"",'Recensement DPS'!C19,""Glace"",'Recensement DPS'!E19,""Vent"",'Recensement DPS'!G19,""Terre"",'Recensement DPS'!I19,""Lumière"",'Recensement DPS'!K19,""Ténèbres"",'Recensement DPS'!M19,""Foudre"",'Recensemen"&amp;"t DPS'!O19),""(?i)(P[0-9]+)\s+"",""$1 / "")),"" / "",FALSE,TRUE),1,2),"""")"),"")</f>
        <v/>
      </c>
      <c r="R91" s="24" t="str">
        <f>IFERROR(__xludf.DUMMYFUNCTION("IF(Q91="""","""",IFERROR(VALUE(REGEXEXTRACT(Q91,""(?i)P\s*([0-9]+)"")),""""))"),"")</f>
        <v/>
      </c>
    </row>
    <row r="92" ht="15.75" customHeight="1">
      <c r="A92" s="17" t="str">
        <f t="shared" si="1"/>
        <v/>
      </c>
      <c r="B92" s="23"/>
      <c r="C92" s="23"/>
      <c r="D92" s="23"/>
      <c r="P92" s="24" t="str">
        <f>'Recensement DPS'!A19</f>
        <v>MDK95</v>
      </c>
      <c r="Q92" s="24" t="str">
        <f>IFERROR(__xludf.DUMMYFUNCTION("IFERROR(INDEX(SPLIT(IF(REGEXMATCH(SWITCH($B$13,""Feu"",'Recensement DPS'!C19,""Glace"",'Recensement DPS'!E19,""Vent"",'Recensement DPS'!G19,""Terre"",'Recensement DPS'!I19,""Lumière"",'Recensement DPS'!K19,""Ténèbres"",'Recensement DPS'!M19,""Foudre"",'Re"&amp;"censement DPS'!O19),""/""),SWITCH($B$13,""Feu"",'Recensement DPS'!C19,""Glace"",'Recensement DPS'!E19,""Vent"",'Recensement DPS'!G19,""Terre"",'Recensement DPS'!I19,""Lumière"",'Recensement DPS'!K19,""Ténèbres"",'Recensement DPS'!M19,""Foudre"",'Recenseme"&amp;"nt DPS'!O19),REGEXREPLACE(SWITCH($B$13,""Feu"",'Recensement DPS'!C19,""Glace"",'Recensement DPS'!E19,""Vent"",'Recensement DPS'!G19,""Terre"",'Recensement DPS'!I19,""Lumière"",'Recensement DPS'!K19,""Ténèbres"",'Recensement DPS'!M19,""Foudre"",'Recensemen"&amp;"t DPS'!O19),""(?i)(P[0-9]+)\s+"",""$1 / "")),"" / "",FALSE,TRUE),1,3),"""")"),"")</f>
        <v/>
      </c>
      <c r="R92" s="24" t="str">
        <f>IFERROR(__xludf.DUMMYFUNCTION("IF(Q92="""","""",IFERROR(VALUE(REGEXEXTRACT(Q92,""(?i)P\s*([0-9]+)"")),""""))"),"")</f>
        <v/>
      </c>
    </row>
    <row r="93" ht="15.75" customHeight="1">
      <c r="A93" s="14" t="str">
        <f t="shared" si="1"/>
        <v/>
      </c>
      <c r="B93" s="23"/>
      <c r="C93" s="23"/>
      <c r="D93" s="23"/>
      <c r="P93" s="24" t="str">
        <f>'Recensement DPS'!A19</f>
        <v>MDK95</v>
      </c>
      <c r="Q93" s="24" t="str">
        <f>IFERROR(__xludf.DUMMYFUNCTION("IFERROR(INDEX(SPLIT(IF(REGEXMATCH(SWITCH($B$13,""Feu"",'Recensement DPS'!C19,""Glace"",'Recensement DPS'!E19,""Vent"",'Recensement DPS'!G19,""Terre"",'Recensement DPS'!I19,""Lumière"",'Recensement DPS'!K19,""Ténèbres"",'Recensement DPS'!M19,""Foudre"",'Re"&amp;"censement DPS'!O19),""/""),SWITCH($B$13,""Feu"",'Recensement DPS'!C19,""Glace"",'Recensement DPS'!E19,""Vent"",'Recensement DPS'!G19,""Terre"",'Recensement DPS'!I19,""Lumière"",'Recensement DPS'!K19,""Ténèbres"",'Recensement DPS'!M19,""Foudre"",'Recenseme"&amp;"nt DPS'!O19),REGEXREPLACE(SWITCH($B$13,""Feu"",'Recensement DPS'!C19,""Glace"",'Recensement DPS'!E19,""Vent"",'Recensement DPS'!G19,""Terre"",'Recensement DPS'!I19,""Lumière"",'Recensement DPS'!K19,""Ténèbres"",'Recensement DPS'!M19,""Foudre"",'Recensemen"&amp;"t DPS'!O19),""(?i)(P[0-9]+)\s+"",""$1 / "")),"" / "",FALSE,TRUE),1,4),"""")"),"")</f>
        <v/>
      </c>
      <c r="R93" s="24" t="str">
        <f>IFERROR(__xludf.DUMMYFUNCTION("IF(Q93="""","""",IFERROR(VALUE(REGEXEXTRACT(Q93,""(?i)P\s*([0-9]+)"")),""""))"),"")</f>
        <v/>
      </c>
    </row>
    <row r="94" ht="15.75" customHeight="1">
      <c r="A94" s="17" t="str">
        <f t="shared" si="1"/>
        <v/>
      </c>
      <c r="B94" s="23"/>
      <c r="C94" s="23"/>
      <c r="D94" s="23"/>
      <c r="P94" s="24" t="str">
        <f>'Recensement DPS'!A19</f>
        <v>MDK95</v>
      </c>
      <c r="Q94" s="24" t="str">
        <f>IFERROR(__xludf.DUMMYFUNCTION("IFERROR(INDEX(SPLIT(IF(REGEXMATCH(SWITCH($B$13,""Feu"",'Recensement DPS'!C19,""Glace"",'Recensement DPS'!E19,""Vent"",'Recensement DPS'!G19,""Terre"",'Recensement DPS'!I19,""Lumière"",'Recensement DPS'!K19,""Ténèbres"",'Recensement DPS'!M19,""Foudre"",'Re"&amp;"censement DPS'!O19),""/""),SWITCH($B$13,""Feu"",'Recensement DPS'!C19,""Glace"",'Recensement DPS'!E19,""Vent"",'Recensement DPS'!G19,""Terre"",'Recensement DPS'!I19,""Lumière"",'Recensement DPS'!K19,""Ténèbres"",'Recensement DPS'!M19,""Foudre"",'Recenseme"&amp;"nt DPS'!O19),REGEXREPLACE(SWITCH($B$13,""Feu"",'Recensement DPS'!C19,""Glace"",'Recensement DPS'!E19,""Vent"",'Recensement DPS'!G19,""Terre"",'Recensement DPS'!I19,""Lumière"",'Recensement DPS'!K19,""Ténèbres"",'Recensement DPS'!M19,""Foudre"",'Recensemen"&amp;"t DPS'!O19),""(?i)(P[0-9]+)\s+"",""$1 / "")),"" / "",FALSE,TRUE),1,5),"""")"),"")</f>
        <v/>
      </c>
      <c r="R94" s="24" t="str">
        <f>IFERROR(__xludf.DUMMYFUNCTION("IF(Q94="""","""",IFERROR(VALUE(REGEXEXTRACT(Q94,""(?i)P\s*([0-9]+)"")),""""))"),"")</f>
        <v/>
      </c>
    </row>
    <row r="95" ht="15.75" customHeight="1">
      <c r="A95" s="14" t="str">
        <f t="shared" si="1"/>
        <v/>
      </c>
      <c r="B95" s="23"/>
      <c r="C95" s="23"/>
      <c r="D95" s="23"/>
      <c r="P95" s="24" t="str">
        <f>'Recensement DPS'!A20</f>
        <v>Mumu</v>
      </c>
      <c r="Q95" s="24" t="str">
        <f>IFERROR(__xludf.DUMMYFUNCTION("IFERROR(INDEX(SPLIT(IF(REGEXMATCH(SWITCH($B$13,""Feu"",'Recensement DPS'!C20,""Glace"",'Recensement DPS'!E20,""Vent"",'Recensement DPS'!G20,""Terre"",'Recensement DPS'!I20,""Lumière"",'Recensement DPS'!K20,""Ténèbres"",'Recensement DPS'!M20,""Foudre"",'Re"&amp;"censement DPS'!O20),""/""),SWITCH($B$13,""Feu"",'Recensement DPS'!C20,""Glace"",'Recensement DPS'!E20,""Vent"",'Recensement DPS'!G20,""Terre"",'Recensement DPS'!I20,""Lumière"",'Recensement DPS'!K20,""Ténèbres"",'Recensement DPS'!M20,""Foudre"",'Recenseme"&amp;"nt DPS'!O20),REGEXREPLACE(SWITCH($B$13,""Feu"",'Recensement DPS'!C20,""Glace"",'Recensement DPS'!E20,""Vent"",'Recensement DPS'!G20,""Terre"",'Recensement DPS'!I20,""Lumière"",'Recensement DPS'!K20,""Ténèbres"",'Recensement DPS'!M20,""Foudre"",'Recensemen"&amp;"t DPS'!O20),""(?i)(P[0-9]+)\s+"",""$1 / "")),"" / "",FALSE,TRUE),1,1),"""")"),"")</f>
        <v/>
      </c>
      <c r="R95" s="24" t="str">
        <f>IFERROR(__xludf.DUMMYFUNCTION("IF(Q95="""","""",IFERROR(VALUE(REGEXEXTRACT(Q95,""(?i)P\s*([0-9]+)"")),""""))"),"")</f>
        <v/>
      </c>
    </row>
    <row r="96" ht="15.75" customHeight="1">
      <c r="A96" s="17" t="str">
        <f t="shared" si="1"/>
        <v/>
      </c>
      <c r="B96" s="23"/>
      <c r="C96" s="23"/>
      <c r="D96" s="23"/>
      <c r="P96" s="24" t="str">
        <f>'Recensement DPS'!A20</f>
        <v>Mumu</v>
      </c>
      <c r="Q96" s="24" t="str">
        <f>IFERROR(__xludf.DUMMYFUNCTION("IFERROR(INDEX(SPLIT(IF(REGEXMATCH(SWITCH($B$13,""Feu"",'Recensement DPS'!C20,""Glace"",'Recensement DPS'!E20,""Vent"",'Recensement DPS'!G20,""Terre"",'Recensement DPS'!I20,""Lumière"",'Recensement DPS'!K20,""Ténèbres"",'Recensement DPS'!M20,""Foudre"",'Re"&amp;"censement DPS'!O20),""/""),SWITCH($B$13,""Feu"",'Recensement DPS'!C20,""Glace"",'Recensement DPS'!E20,""Vent"",'Recensement DPS'!G20,""Terre"",'Recensement DPS'!I20,""Lumière"",'Recensement DPS'!K20,""Ténèbres"",'Recensement DPS'!M20,""Foudre"",'Recenseme"&amp;"nt DPS'!O20),REGEXREPLACE(SWITCH($B$13,""Feu"",'Recensement DPS'!C20,""Glace"",'Recensement DPS'!E20,""Vent"",'Recensement DPS'!G20,""Terre"",'Recensement DPS'!I20,""Lumière"",'Recensement DPS'!K20,""Ténèbres"",'Recensement DPS'!M20,""Foudre"",'Recensemen"&amp;"t DPS'!O20),""(?i)(P[0-9]+)\s+"",""$1 / "")),"" / "",FALSE,TRUE),1,2),"""")"),"")</f>
        <v/>
      </c>
      <c r="R96" s="24" t="str">
        <f>IFERROR(__xludf.DUMMYFUNCTION("IF(Q96="""","""",IFERROR(VALUE(REGEXEXTRACT(Q96,""(?i)P\s*([0-9]+)"")),""""))"),"")</f>
        <v/>
      </c>
    </row>
    <row r="97" ht="15.75" customHeight="1">
      <c r="A97" s="14" t="str">
        <f t="shared" si="1"/>
        <v/>
      </c>
      <c r="B97" s="23"/>
      <c r="C97" s="23"/>
      <c r="D97" s="23"/>
      <c r="P97" s="24" t="str">
        <f>'Recensement DPS'!A20</f>
        <v>Mumu</v>
      </c>
      <c r="Q97" s="24" t="str">
        <f>IFERROR(__xludf.DUMMYFUNCTION("IFERROR(INDEX(SPLIT(IF(REGEXMATCH(SWITCH($B$13,""Feu"",'Recensement DPS'!C20,""Glace"",'Recensement DPS'!E20,""Vent"",'Recensement DPS'!G20,""Terre"",'Recensement DPS'!I20,""Lumière"",'Recensement DPS'!K20,""Ténèbres"",'Recensement DPS'!M20,""Foudre"",'Re"&amp;"censement DPS'!O20),""/""),SWITCH($B$13,""Feu"",'Recensement DPS'!C20,""Glace"",'Recensement DPS'!E20,""Vent"",'Recensement DPS'!G20,""Terre"",'Recensement DPS'!I20,""Lumière"",'Recensement DPS'!K20,""Ténèbres"",'Recensement DPS'!M20,""Foudre"",'Recenseme"&amp;"nt DPS'!O20),REGEXREPLACE(SWITCH($B$13,""Feu"",'Recensement DPS'!C20,""Glace"",'Recensement DPS'!E20,""Vent"",'Recensement DPS'!G20,""Terre"",'Recensement DPS'!I20,""Lumière"",'Recensement DPS'!K20,""Ténèbres"",'Recensement DPS'!M20,""Foudre"",'Recensemen"&amp;"t DPS'!O20),""(?i)(P[0-9]+)\s+"",""$1 / "")),"" / "",FALSE,TRUE),1,3),"""")"),"")</f>
        <v/>
      </c>
      <c r="R97" s="24" t="str">
        <f>IFERROR(__xludf.DUMMYFUNCTION("IF(Q97="""","""",IFERROR(VALUE(REGEXEXTRACT(Q97,""(?i)P\s*([0-9]+)"")),""""))"),"")</f>
        <v/>
      </c>
    </row>
    <row r="98" ht="15.75" customHeight="1">
      <c r="A98" s="17" t="str">
        <f t="shared" si="1"/>
        <v/>
      </c>
      <c r="B98" s="23"/>
      <c r="C98" s="23"/>
      <c r="D98" s="23"/>
      <c r="P98" s="24" t="str">
        <f>'Recensement DPS'!A20</f>
        <v>Mumu</v>
      </c>
      <c r="Q98" s="24" t="str">
        <f>IFERROR(__xludf.DUMMYFUNCTION("IFERROR(INDEX(SPLIT(IF(REGEXMATCH(SWITCH($B$13,""Feu"",'Recensement DPS'!C20,""Glace"",'Recensement DPS'!E20,""Vent"",'Recensement DPS'!G20,""Terre"",'Recensement DPS'!I20,""Lumière"",'Recensement DPS'!K20,""Ténèbres"",'Recensement DPS'!M20,""Foudre"",'Re"&amp;"censement DPS'!O20),""/""),SWITCH($B$13,""Feu"",'Recensement DPS'!C20,""Glace"",'Recensement DPS'!E20,""Vent"",'Recensement DPS'!G20,""Terre"",'Recensement DPS'!I20,""Lumière"",'Recensement DPS'!K20,""Ténèbres"",'Recensement DPS'!M20,""Foudre"",'Recenseme"&amp;"nt DPS'!O20),REGEXREPLACE(SWITCH($B$13,""Feu"",'Recensement DPS'!C20,""Glace"",'Recensement DPS'!E20,""Vent"",'Recensement DPS'!G20,""Terre"",'Recensement DPS'!I20,""Lumière"",'Recensement DPS'!K20,""Ténèbres"",'Recensement DPS'!M20,""Foudre"",'Recensemen"&amp;"t DPS'!O20),""(?i)(P[0-9]+)\s+"",""$1 / "")),"" / "",FALSE,TRUE),1,4),"""")"),"")</f>
        <v/>
      </c>
      <c r="R98" s="24" t="str">
        <f>IFERROR(__xludf.DUMMYFUNCTION("IF(Q98="""","""",IFERROR(VALUE(REGEXEXTRACT(Q98,""(?i)P\s*([0-9]+)"")),""""))"),"")</f>
        <v/>
      </c>
    </row>
    <row r="99" ht="15.75" customHeight="1">
      <c r="A99" s="14" t="str">
        <f t="shared" si="1"/>
        <v/>
      </c>
      <c r="B99" s="23"/>
      <c r="C99" s="23"/>
      <c r="D99" s="23"/>
      <c r="P99" s="24" t="str">
        <f>'Recensement DPS'!A20</f>
        <v>Mumu</v>
      </c>
      <c r="Q99" s="24" t="str">
        <f>IFERROR(__xludf.DUMMYFUNCTION("IFERROR(INDEX(SPLIT(IF(REGEXMATCH(SWITCH($B$13,""Feu"",'Recensement DPS'!C20,""Glace"",'Recensement DPS'!E20,""Vent"",'Recensement DPS'!G20,""Terre"",'Recensement DPS'!I20,""Lumière"",'Recensement DPS'!K20,""Ténèbres"",'Recensement DPS'!M20,""Foudre"",'Re"&amp;"censement DPS'!O20),""/""),SWITCH($B$13,""Feu"",'Recensement DPS'!C20,""Glace"",'Recensement DPS'!E20,""Vent"",'Recensement DPS'!G20,""Terre"",'Recensement DPS'!I20,""Lumière"",'Recensement DPS'!K20,""Ténèbres"",'Recensement DPS'!M20,""Foudre"",'Recenseme"&amp;"nt DPS'!O20),REGEXREPLACE(SWITCH($B$13,""Feu"",'Recensement DPS'!C20,""Glace"",'Recensement DPS'!E20,""Vent"",'Recensement DPS'!G20,""Terre"",'Recensement DPS'!I20,""Lumière"",'Recensement DPS'!K20,""Ténèbres"",'Recensement DPS'!M20,""Foudre"",'Recensemen"&amp;"t DPS'!O20),""(?i)(P[0-9]+)\s+"",""$1 / "")),"" / "",FALSE,TRUE),1,5),"""")"),"")</f>
        <v/>
      </c>
      <c r="R99" s="24" t="str">
        <f>IFERROR(__xludf.DUMMYFUNCTION("IF(Q99="""","""",IFERROR(VALUE(REGEXEXTRACT(Q99,""(?i)P\s*([0-9]+)"")),""""))"),"")</f>
        <v/>
      </c>
    </row>
    <row r="100" ht="15.75" customHeight="1">
      <c r="A100" s="17" t="str">
        <f t="shared" si="1"/>
        <v/>
      </c>
      <c r="B100" s="23"/>
      <c r="C100" s="23"/>
      <c r="D100" s="23"/>
      <c r="P100" s="24" t="str">
        <f>'Recensement DPS'!A21</f>
        <v>Smiiters</v>
      </c>
      <c r="Q100" s="24" t="str">
        <f>IFERROR(__xludf.DUMMYFUNCTION("IFERROR(INDEX(SPLIT(IF(REGEXMATCH(SWITCH($B$13,""Feu"",'Recensement DPS'!C21,""Glace"",'Recensement DPS'!E21,""Vent"",'Recensement DPS'!G21,""Terre"",'Recensement DPS'!I21,""Lumière"",'Recensement DPS'!K21,""Ténèbres"",'Recensement DPS'!M21,""Foudre"",'Re"&amp;"censement DPS'!O21),""/""),SWITCH($B$13,""Feu"",'Recensement DPS'!C21,""Glace"",'Recensement DPS'!E21,""Vent"",'Recensement DPS'!G21,""Terre"",'Recensement DPS'!I21,""Lumière"",'Recensement DPS'!K21,""Ténèbres"",'Recensement DPS'!M21,""Foudre"",'Recenseme"&amp;"nt DPS'!O21),REGEXREPLACE(SWITCH($B$13,""Feu"",'Recensement DPS'!C21,""Glace"",'Recensement DPS'!E21,""Vent"",'Recensement DPS'!G21,""Terre"",'Recensement DPS'!I21,""Lumière"",'Recensement DPS'!K21,""Ténèbres"",'Recensement DPS'!M21,""Foudre"",'Recensemen"&amp;"t DPS'!O21),""(?i)(P[0-9]+)\s+"",""$1 / "")),"" / "",FALSE,TRUE),1,1),"""")"),"")</f>
        <v/>
      </c>
      <c r="R100" s="24" t="str">
        <f>IFERROR(__xludf.DUMMYFUNCTION("IF(Q100="""","""",IFERROR(VALUE(REGEXEXTRACT(Q100,""(?i)P\s*([0-9]+)"")),""""))"),"")</f>
        <v/>
      </c>
    </row>
    <row r="101" ht="15.75" customHeight="1">
      <c r="A101" s="14" t="str">
        <f t="shared" si="1"/>
        <v/>
      </c>
      <c r="B101" s="23"/>
      <c r="C101" s="23"/>
      <c r="D101" s="23"/>
      <c r="P101" s="24" t="str">
        <f>'Recensement DPS'!A21</f>
        <v>Smiiters</v>
      </c>
      <c r="Q101" s="24" t="str">
        <f>IFERROR(__xludf.DUMMYFUNCTION("IFERROR(INDEX(SPLIT(IF(REGEXMATCH(SWITCH($B$13,""Feu"",'Recensement DPS'!C21,""Glace"",'Recensement DPS'!E21,""Vent"",'Recensement DPS'!G21,""Terre"",'Recensement DPS'!I21,""Lumière"",'Recensement DPS'!K21,""Ténèbres"",'Recensement DPS'!M21,""Foudre"",'Re"&amp;"censement DPS'!O21),""/""),SWITCH($B$13,""Feu"",'Recensement DPS'!C21,""Glace"",'Recensement DPS'!E21,""Vent"",'Recensement DPS'!G21,""Terre"",'Recensement DPS'!I21,""Lumière"",'Recensement DPS'!K21,""Ténèbres"",'Recensement DPS'!M21,""Foudre"",'Recenseme"&amp;"nt DPS'!O21),REGEXREPLACE(SWITCH($B$13,""Feu"",'Recensement DPS'!C21,""Glace"",'Recensement DPS'!E21,""Vent"",'Recensement DPS'!G21,""Terre"",'Recensement DPS'!I21,""Lumière"",'Recensement DPS'!K21,""Ténèbres"",'Recensement DPS'!M21,""Foudre"",'Recensemen"&amp;"t DPS'!O21),""(?i)(P[0-9]+)\s+"",""$1 / "")),"" / "",FALSE,TRUE),1,2),"""")"),"")</f>
        <v/>
      </c>
      <c r="R101" s="24" t="str">
        <f>IFERROR(__xludf.DUMMYFUNCTION("IF(Q101="""","""",IFERROR(VALUE(REGEXEXTRACT(Q101,""(?i)P\s*([0-9]+)"")),""""))"),"")</f>
        <v/>
      </c>
    </row>
    <row r="102" ht="15.75" customHeight="1">
      <c r="A102" s="17" t="str">
        <f t="shared" si="1"/>
        <v/>
      </c>
      <c r="B102" s="23"/>
      <c r="C102" s="23"/>
      <c r="D102" s="23"/>
      <c r="P102" s="24" t="str">
        <f>'Recensement DPS'!A21</f>
        <v>Smiiters</v>
      </c>
      <c r="Q102" s="24" t="str">
        <f>IFERROR(__xludf.DUMMYFUNCTION("IFERROR(INDEX(SPLIT(IF(REGEXMATCH(SWITCH($B$13,""Feu"",'Recensement DPS'!C21,""Glace"",'Recensement DPS'!E21,""Vent"",'Recensement DPS'!G21,""Terre"",'Recensement DPS'!I21,""Lumière"",'Recensement DPS'!K21,""Ténèbres"",'Recensement DPS'!M21,""Foudre"",'Re"&amp;"censement DPS'!O21),""/""),SWITCH($B$13,""Feu"",'Recensement DPS'!C21,""Glace"",'Recensement DPS'!E21,""Vent"",'Recensement DPS'!G21,""Terre"",'Recensement DPS'!I21,""Lumière"",'Recensement DPS'!K21,""Ténèbres"",'Recensement DPS'!M21,""Foudre"",'Recenseme"&amp;"nt DPS'!O21),REGEXREPLACE(SWITCH($B$13,""Feu"",'Recensement DPS'!C21,""Glace"",'Recensement DPS'!E21,""Vent"",'Recensement DPS'!G21,""Terre"",'Recensement DPS'!I21,""Lumière"",'Recensement DPS'!K21,""Ténèbres"",'Recensement DPS'!M21,""Foudre"",'Recensemen"&amp;"t DPS'!O21),""(?i)(P[0-9]+)\s+"",""$1 / "")),"" / "",FALSE,TRUE),1,3),"""")"),"")</f>
        <v/>
      </c>
      <c r="R102" s="24" t="str">
        <f>IFERROR(__xludf.DUMMYFUNCTION("IF(Q102="""","""",IFERROR(VALUE(REGEXEXTRACT(Q102,""(?i)P\s*([0-9]+)"")),""""))"),"")</f>
        <v/>
      </c>
    </row>
    <row r="103" ht="15.75" customHeight="1">
      <c r="A103" s="14" t="str">
        <f t="shared" si="1"/>
        <v/>
      </c>
      <c r="B103" s="23"/>
      <c r="C103" s="23"/>
      <c r="D103" s="23"/>
      <c r="P103" s="24" t="str">
        <f>'Recensement DPS'!A21</f>
        <v>Smiiters</v>
      </c>
      <c r="Q103" s="24" t="str">
        <f>IFERROR(__xludf.DUMMYFUNCTION("IFERROR(INDEX(SPLIT(IF(REGEXMATCH(SWITCH($B$13,""Feu"",'Recensement DPS'!C21,""Glace"",'Recensement DPS'!E21,""Vent"",'Recensement DPS'!G21,""Terre"",'Recensement DPS'!I21,""Lumière"",'Recensement DPS'!K21,""Ténèbres"",'Recensement DPS'!M21,""Foudre"",'Re"&amp;"censement DPS'!O21),""/""),SWITCH($B$13,""Feu"",'Recensement DPS'!C21,""Glace"",'Recensement DPS'!E21,""Vent"",'Recensement DPS'!G21,""Terre"",'Recensement DPS'!I21,""Lumière"",'Recensement DPS'!K21,""Ténèbres"",'Recensement DPS'!M21,""Foudre"",'Recenseme"&amp;"nt DPS'!O21),REGEXREPLACE(SWITCH($B$13,""Feu"",'Recensement DPS'!C21,""Glace"",'Recensement DPS'!E21,""Vent"",'Recensement DPS'!G21,""Terre"",'Recensement DPS'!I21,""Lumière"",'Recensement DPS'!K21,""Ténèbres"",'Recensement DPS'!M21,""Foudre"",'Recensemen"&amp;"t DPS'!O21),""(?i)(P[0-9]+)\s+"",""$1 / "")),"" / "",FALSE,TRUE),1,4),"""")"),"")</f>
        <v/>
      </c>
      <c r="R103" s="24" t="str">
        <f>IFERROR(__xludf.DUMMYFUNCTION("IF(Q103="""","""",IFERROR(VALUE(REGEXEXTRACT(Q103,""(?i)P\s*([0-9]+)"")),""""))"),"")</f>
        <v/>
      </c>
    </row>
    <row r="104" ht="15.75" customHeight="1">
      <c r="A104" s="17" t="str">
        <f t="shared" si="1"/>
        <v/>
      </c>
      <c r="B104" s="23"/>
      <c r="C104" s="23"/>
      <c r="D104" s="23"/>
      <c r="P104" s="24" t="str">
        <f>'Recensement DPS'!A21</f>
        <v>Smiiters</v>
      </c>
      <c r="Q104" s="24" t="str">
        <f>IFERROR(__xludf.DUMMYFUNCTION("IFERROR(INDEX(SPLIT(IF(REGEXMATCH(SWITCH($B$13,""Feu"",'Recensement DPS'!C21,""Glace"",'Recensement DPS'!E21,""Vent"",'Recensement DPS'!G21,""Terre"",'Recensement DPS'!I21,""Lumière"",'Recensement DPS'!K21,""Ténèbres"",'Recensement DPS'!M21,""Foudre"",'Re"&amp;"censement DPS'!O21),""/""),SWITCH($B$13,""Feu"",'Recensement DPS'!C21,""Glace"",'Recensement DPS'!E21,""Vent"",'Recensement DPS'!G21,""Terre"",'Recensement DPS'!I21,""Lumière"",'Recensement DPS'!K21,""Ténèbres"",'Recensement DPS'!M21,""Foudre"",'Recenseme"&amp;"nt DPS'!O21),REGEXREPLACE(SWITCH($B$13,""Feu"",'Recensement DPS'!C21,""Glace"",'Recensement DPS'!E21,""Vent"",'Recensement DPS'!G21,""Terre"",'Recensement DPS'!I21,""Lumière"",'Recensement DPS'!K21,""Ténèbres"",'Recensement DPS'!M21,""Foudre"",'Recensemen"&amp;"t DPS'!O21),""(?i)(P[0-9]+)\s+"",""$1 / "")),"" / "",FALSE,TRUE),1,5),"""")"),"")</f>
        <v/>
      </c>
      <c r="R104" s="24" t="str">
        <f>IFERROR(__xludf.DUMMYFUNCTION("IF(Q104="""","""",IFERROR(VALUE(REGEXEXTRACT(Q104,""(?i)P\s*([0-9]+)"")),""""))"),"")</f>
        <v/>
      </c>
    </row>
    <row r="105" ht="15.75" customHeight="1">
      <c r="A105" s="14" t="str">
        <f t="shared" si="1"/>
        <v/>
      </c>
      <c r="B105" s="23"/>
      <c r="C105" s="23"/>
      <c r="D105" s="23"/>
      <c r="P105" s="24" t="str">
        <f>'Recensement DPS'!A22</f>
        <v>Sucemonkbo974</v>
      </c>
      <c r="Q105" s="24" t="str">
        <f>IFERROR(__xludf.DUMMYFUNCTION("IFERROR(INDEX(SPLIT(IF(REGEXMATCH(SWITCH($B$13,""Feu"",'Recensement DPS'!C22,""Glace"",'Recensement DPS'!E22,""Vent"",'Recensement DPS'!G22,""Terre"",'Recensement DPS'!I22,""Lumière"",'Recensement DPS'!K22,""Ténèbres"",'Recensement DPS'!M22,""Foudre"",'Re"&amp;"censement DPS'!O22),""/""),SWITCH($B$13,""Feu"",'Recensement DPS'!C22,""Glace"",'Recensement DPS'!E22,""Vent"",'Recensement DPS'!G22,""Terre"",'Recensement DPS'!I22,""Lumière"",'Recensement DPS'!K22,""Ténèbres"",'Recensement DPS'!M22,""Foudre"",'Recenseme"&amp;"nt DPS'!O22),REGEXREPLACE(SWITCH($B$13,""Feu"",'Recensement DPS'!C22,""Glace"",'Recensement DPS'!E22,""Vent"",'Recensement DPS'!G22,""Terre"",'Recensement DPS'!I22,""Lumière"",'Recensement DPS'!K22,""Ténèbres"",'Recensement DPS'!M22,""Foudre"",'Recensemen"&amp;"t DPS'!O22),""(?i)(P[0-9]+)\s+"",""$1 / "")),"" / "",FALSE,TRUE),1,1),"""")"),"")</f>
        <v/>
      </c>
      <c r="R105" s="24" t="str">
        <f>IFERROR(__xludf.DUMMYFUNCTION("IF(Q105="""","""",IFERROR(VALUE(REGEXEXTRACT(Q105,""(?i)P\s*([0-9]+)"")),""""))"),"")</f>
        <v/>
      </c>
    </row>
    <row r="106" ht="15.75" customHeight="1">
      <c r="A106" s="17" t="str">
        <f t="shared" si="1"/>
        <v/>
      </c>
      <c r="B106" s="23"/>
      <c r="C106" s="23"/>
      <c r="D106" s="23"/>
      <c r="P106" s="24" t="str">
        <f>'Recensement DPS'!A22</f>
        <v>Sucemonkbo974</v>
      </c>
      <c r="Q106" s="24" t="str">
        <f>IFERROR(__xludf.DUMMYFUNCTION("IFERROR(INDEX(SPLIT(IF(REGEXMATCH(SWITCH($B$13,""Feu"",'Recensement DPS'!C22,""Glace"",'Recensement DPS'!E22,""Vent"",'Recensement DPS'!G22,""Terre"",'Recensement DPS'!I22,""Lumière"",'Recensement DPS'!K22,""Ténèbres"",'Recensement DPS'!M22,""Foudre"",'Re"&amp;"censement DPS'!O22),""/""),SWITCH($B$13,""Feu"",'Recensement DPS'!C22,""Glace"",'Recensement DPS'!E22,""Vent"",'Recensement DPS'!G22,""Terre"",'Recensement DPS'!I22,""Lumière"",'Recensement DPS'!K22,""Ténèbres"",'Recensement DPS'!M22,""Foudre"",'Recenseme"&amp;"nt DPS'!O22),REGEXREPLACE(SWITCH($B$13,""Feu"",'Recensement DPS'!C22,""Glace"",'Recensement DPS'!E22,""Vent"",'Recensement DPS'!G22,""Terre"",'Recensement DPS'!I22,""Lumière"",'Recensement DPS'!K22,""Ténèbres"",'Recensement DPS'!M22,""Foudre"",'Recensemen"&amp;"t DPS'!O22),""(?i)(P[0-9]+)\s+"",""$1 / "")),"" / "",FALSE,TRUE),1,2),"""")"),"")</f>
        <v/>
      </c>
      <c r="R106" s="24" t="str">
        <f>IFERROR(__xludf.DUMMYFUNCTION("IF(Q106="""","""",IFERROR(VALUE(REGEXEXTRACT(Q106,""(?i)P\s*([0-9]+)"")),""""))"),"")</f>
        <v/>
      </c>
    </row>
    <row r="107" ht="15.75" customHeight="1">
      <c r="A107" s="14" t="str">
        <f t="shared" si="1"/>
        <v/>
      </c>
      <c r="B107" s="23"/>
      <c r="C107" s="23"/>
      <c r="D107" s="23"/>
      <c r="P107" s="24" t="str">
        <f>'Recensement DPS'!A22</f>
        <v>Sucemonkbo974</v>
      </c>
      <c r="Q107" s="24" t="str">
        <f>IFERROR(__xludf.DUMMYFUNCTION("IFERROR(INDEX(SPLIT(IF(REGEXMATCH(SWITCH($B$13,""Feu"",'Recensement DPS'!C22,""Glace"",'Recensement DPS'!E22,""Vent"",'Recensement DPS'!G22,""Terre"",'Recensement DPS'!I22,""Lumière"",'Recensement DPS'!K22,""Ténèbres"",'Recensement DPS'!M22,""Foudre"",'Re"&amp;"censement DPS'!O22),""/""),SWITCH($B$13,""Feu"",'Recensement DPS'!C22,""Glace"",'Recensement DPS'!E22,""Vent"",'Recensement DPS'!G22,""Terre"",'Recensement DPS'!I22,""Lumière"",'Recensement DPS'!K22,""Ténèbres"",'Recensement DPS'!M22,""Foudre"",'Recenseme"&amp;"nt DPS'!O22),REGEXREPLACE(SWITCH($B$13,""Feu"",'Recensement DPS'!C22,""Glace"",'Recensement DPS'!E22,""Vent"",'Recensement DPS'!G22,""Terre"",'Recensement DPS'!I22,""Lumière"",'Recensement DPS'!K22,""Ténèbres"",'Recensement DPS'!M22,""Foudre"",'Recensemen"&amp;"t DPS'!O22),""(?i)(P[0-9]+)\s+"",""$1 / "")),"" / "",FALSE,TRUE),1,3),"""")"),"")</f>
        <v/>
      </c>
      <c r="R107" s="24" t="str">
        <f>IFERROR(__xludf.DUMMYFUNCTION("IF(Q107="""","""",IFERROR(VALUE(REGEXEXTRACT(Q107,""(?i)P\s*([0-9]+)"")),""""))"),"")</f>
        <v/>
      </c>
    </row>
    <row r="108" ht="15.75" customHeight="1">
      <c r="A108" s="17" t="str">
        <f t="shared" si="1"/>
        <v/>
      </c>
      <c r="B108" s="23"/>
      <c r="C108" s="23"/>
      <c r="D108" s="23"/>
      <c r="P108" s="24" t="str">
        <f>'Recensement DPS'!A22</f>
        <v>Sucemonkbo974</v>
      </c>
      <c r="Q108" s="24" t="str">
        <f>IFERROR(__xludf.DUMMYFUNCTION("IFERROR(INDEX(SPLIT(IF(REGEXMATCH(SWITCH($B$13,""Feu"",'Recensement DPS'!C22,""Glace"",'Recensement DPS'!E22,""Vent"",'Recensement DPS'!G22,""Terre"",'Recensement DPS'!I22,""Lumière"",'Recensement DPS'!K22,""Ténèbres"",'Recensement DPS'!M22,""Foudre"",'Re"&amp;"censement DPS'!O22),""/""),SWITCH($B$13,""Feu"",'Recensement DPS'!C22,""Glace"",'Recensement DPS'!E22,""Vent"",'Recensement DPS'!G22,""Terre"",'Recensement DPS'!I22,""Lumière"",'Recensement DPS'!K22,""Ténèbres"",'Recensement DPS'!M22,""Foudre"",'Recenseme"&amp;"nt DPS'!O22),REGEXREPLACE(SWITCH($B$13,""Feu"",'Recensement DPS'!C22,""Glace"",'Recensement DPS'!E22,""Vent"",'Recensement DPS'!G22,""Terre"",'Recensement DPS'!I22,""Lumière"",'Recensement DPS'!K22,""Ténèbres"",'Recensement DPS'!M22,""Foudre"",'Recensemen"&amp;"t DPS'!O22),""(?i)(P[0-9]+)\s+"",""$1 / "")),"" / "",FALSE,TRUE),1,4),"""")"),"")</f>
        <v/>
      </c>
      <c r="R108" s="24" t="str">
        <f>IFERROR(__xludf.DUMMYFUNCTION("IF(Q108="""","""",IFERROR(VALUE(REGEXEXTRACT(Q108,""(?i)P\s*([0-9]+)"")),""""))"),"")</f>
        <v/>
      </c>
    </row>
    <row r="109" ht="15.75" customHeight="1">
      <c r="A109" s="14" t="str">
        <f t="shared" si="1"/>
        <v/>
      </c>
      <c r="B109" s="23"/>
      <c r="C109" s="23"/>
      <c r="D109" s="23"/>
      <c r="P109" s="24" t="str">
        <f>'Recensement DPS'!A22</f>
        <v>Sucemonkbo974</v>
      </c>
      <c r="Q109" s="24" t="str">
        <f>IFERROR(__xludf.DUMMYFUNCTION("IFERROR(INDEX(SPLIT(IF(REGEXMATCH(SWITCH($B$13,""Feu"",'Recensement DPS'!C22,""Glace"",'Recensement DPS'!E22,""Vent"",'Recensement DPS'!G22,""Terre"",'Recensement DPS'!I22,""Lumière"",'Recensement DPS'!K22,""Ténèbres"",'Recensement DPS'!M22,""Foudre"",'Re"&amp;"censement DPS'!O22),""/""),SWITCH($B$13,""Feu"",'Recensement DPS'!C22,""Glace"",'Recensement DPS'!E22,""Vent"",'Recensement DPS'!G22,""Terre"",'Recensement DPS'!I22,""Lumière"",'Recensement DPS'!K22,""Ténèbres"",'Recensement DPS'!M22,""Foudre"",'Recenseme"&amp;"nt DPS'!O22),REGEXREPLACE(SWITCH($B$13,""Feu"",'Recensement DPS'!C22,""Glace"",'Recensement DPS'!E22,""Vent"",'Recensement DPS'!G22,""Terre"",'Recensement DPS'!I22,""Lumière"",'Recensement DPS'!K22,""Ténèbres"",'Recensement DPS'!M22,""Foudre"",'Recensemen"&amp;"t DPS'!O22),""(?i)(P[0-9]+)\s+"",""$1 / "")),"" / "",FALSE,TRUE),1,5),"""")"),"")</f>
        <v/>
      </c>
      <c r="R109" s="24" t="str">
        <f>IFERROR(__xludf.DUMMYFUNCTION("IF(Q109="""","""",IFERROR(VALUE(REGEXEXTRACT(Q109,""(?i)P\s*([0-9]+)"")),""""))"),"")</f>
        <v/>
      </c>
    </row>
    <row r="110" ht="15.75" customHeight="1">
      <c r="A110" s="17" t="str">
        <f t="shared" si="1"/>
        <v/>
      </c>
      <c r="B110" s="23"/>
      <c r="C110" s="23"/>
      <c r="D110" s="23"/>
      <c r="P110" s="24" t="str">
        <f>'Recensement DPS'!A23</f>
        <v>Syval</v>
      </c>
      <c r="Q110" s="24" t="str">
        <f>IFERROR(__xludf.DUMMYFUNCTION("IFERROR(INDEX(SPLIT(IF(REGEXMATCH(SWITCH($B$13,""Feu"",'Recensement DPS'!C23,""Glace"",'Recensement DPS'!E23,""Vent"",'Recensement DPS'!G23,""Terre"",'Recensement DPS'!I23,""Lumière"",'Recensement DPS'!K23,""Ténèbres"",'Recensement DPS'!M23,""Foudre"",'Re"&amp;"censement DPS'!O23),""/""),SWITCH($B$13,""Feu"",'Recensement DPS'!C23,""Glace"",'Recensement DPS'!E23,""Vent"",'Recensement DPS'!G23,""Terre"",'Recensement DPS'!I23,""Lumière"",'Recensement DPS'!K23,""Ténèbres"",'Recensement DPS'!M23,""Foudre"",'Recenseme"&amp;"nt DPS'!O23),REGEXREPLACE(SWITCH($B$13,""Feu"",'Recensement DPS'!C23,""Glace"",'Recensement DPS'!E23,""Vent"",'Recensement DPS'!G23,""Terre"",'Recensement DPS'!I23,""Lumière"",'Recensement DPS'!K23,""Ténèbres"",'Recensement DPS'!M23,""Foudre"",'Recensemen"&amp;"t DPS'!O23),""(?i)(P[0-9]+)\s+"",""$1 / "")),"" / "",FALSE,TRUE),1,1),"""")"),"")</f>
        <v/>
      </c>
      <c r="R110" s="24" t="str">
        <f>IFERROR(__xludf.DUMMYFUNCTION("IF(Q110="""","""",IFERROR(VALUE(REGEXEXTRACT(Q110,""(?i)P\s*([0-9]+)"")),""""))"),"")</f>
        <v/>
      </c>
    </row>
    <row r="111" ht="15.75" customHeight="1">
      <c r="A111" s="14" t="str">
        <f t="shared" si="1"/>
        <v/>
      </c>
      <c r="B111" s="23"/>
      <c r="C111" s="23"/>
      <c r="D111" s="23"/>
      <c r="P111" s="24" t="str">
        <f>'Recensement DPS'!A23</f>
        <v>Syval</v>
      </c>
      <c r="Q111" s="24" t="str">
        <f>IFERROR(__xludf.DUMMYFUNCTION("IFERROR(INDEX(SPLIT(IF(REGEXMATCH(SWITCH($B$13,""Feu"",'Recensement DPS'!C23,""Glace"",'Recensement DPS'!E23,""Vent"",'Recensement DPS'!G23,""Terre"",'Recensement DPS'!I23,""Lumière"",'Recensement DPS'!K23,""Ténèbres"",'Recensement DPS'!M23,""Foudre"",'Re"&amp;"censement DPS'!O23),""/""),SWITCH($B$13,""Feu"",'Recensement DPS'!C23,""Glace"",'Recensement DPS'!E23,""Vent"",'Recensement DPS'!G23,""Terre"",'Recensement DPS'!I23,""Lumière"",'Recensement DPS'!K23,""Ténèbres"",'Recensement DPS'!M23,""Foudre"",'Recenseme"&amp;"nt DPS'!O23),REGEXREPLACE(SWITCH($B$13,""Feu"",'Recensement DPS'!C23,""Glace"",'Recensement DPS'!E23,""Vent"",'Recensement DPS'!G23,""Terre"",'Recensement DPS'!I23,""Lumière"",'Recensement DPS'!K23,""Ténèbres"",'Recensement DPS'!M23,""Foudre"",'Recensemen"&amp;"t DPS'!O23),""(?i)(P[0-9]+)\s+"",""$1 / "")),"" / "",FALSE,TRUE),1,2),"""")"),"")</f>
        <v/>
      </c>
      <c r="R111" s="24" t="str">
        <f>IFERROR(__xludf.DUMMYFUNCTION("IF(Q111="""","""",IFERROR(VALUE(REGEXEXTRACT(Q111,""(?i)P\s*([0-9]+)"")),""""))"),"")</f>
        <v/>
      </c>
    </row>
    <row r="112" ht="15.75" customHeight="1">
      <c r="A112" s="17" t="str">
        <f t="shared" si="1"/>
        <v/>
      </c>
      <c r="B112" s="23"/>
      <c r="C112" s="23"/>
      <c r="D112" s="23"/>
      <c r="P112" s="24" t="str">
        <f>'Recensement DPS'!A23</f>
        <v>Syval</v>
      </c>
      <c r="Q112" s="24" t="str">
        <f>IFERROR(__xludf.DUMMYFUNCTION("IFERROR(INDEX(SPLIT(IF(REGEXMATCH(SWITCH($B$13,""Feu"",'Recensement DPS'!C23,""Glace"",'Recensement DPS'!E23,""Vent"",'Recensement DPS'!G23,""Terre"",'Recensement DPS'!I23,""Lumière"",'Recensement DPS'!K23,""Ténèbres"",'Recensement DPS'!M23,""Foudre"",'Re"&amp;"censement DPS'!O23),""/""),SWITCH($B$13,""Feu"",'Recensement DPS'!C23,""Glace"",'Recensement DPS'!E23,""Vent"",'Recensement DPS'!G23,""Terre"",'Recensement DPS'!I23,""Lumière"",'Recensement DPS'!K23,""Ténèbres"",'Recensement DPS'!M23,""Foudre"",'Recenseme"&amp;"nt DPS'!O23),REGEXREPLACE(SWITCH($B$13,""Feu"",'Recensement DPS'!C23,""Glace"",'Recensement DPS'!E23,""Vent"",'Recensement DPS'!G23,""Terre"",'Recensement DPS'!I23,""Lumière"",'Recensement DPS'!K23,""Ténèbres"",'Recensement DPS'!M23,""Foudre"",'Recensemen"&amp;"t DPS'!O23),""(?i)(P[0-9]+)\s+"",""$1 / "")),"" / "",FALSE,TRUE),1,3),"""")"),"")</f>
        <v/>
      </c>
      <c r="R112" s="24" t="str">
        <f>IFERROR(__xludf.DUMMYFUNCTION("IF(Q112="""","""",IFERROR(VALUE(REGEXEXTRACT(Q112,""(?i)P\s*([0-9]+)"")),""""))"),"")</f>
        <v/>
      </c>
    </row>
    <row r="113" ht="15.75" customHeight="1">
      <c r="A113" s="14" t="str">
        <f t="shared" si="1"/>
        <v/>
      </c>
      <c r="B113" s="23"/>
      <c r="C113" s="23"/>
      <c r="D113" s="23"/>
      <c r="P113" s="24" t="str">
        <f>'Recensement DPS'!A23</f>
        <v>Syval</v>
      </c>
      <c r="Q113" s="24" t="str">
        <f>IFERROR(__xludf.DUMMYFUNCTION("IFERROR(INDEX(SPLIT(IF(REGEXMATCH(SWITCH($B$13,""Feu"",'Recensement DPS'!C23,""Glace"",'Recensement DPS'!E23,""Vent"",'Recensement DPS'!G23,""Terre"",'Recensement DPS'!I23,""Lumière"",'Recensement DPS'!K23,""Ténèbres"",'Recensement DPS'!M23,""Foudre"",'Re"&amp;"censement DPS'!O23),""/""),SWITCH($B$13,""Feu"",'Recensement DPS'!C23,""Glace"",'Recensement DPS'!E23,""Vent"",'Recensement DPS'!G23,""Terre"",'Recensement DPS'!I23,""Lumière"",'Recensement DPS'!K23,""Ténèbres"",'Recensement DPS'!M23,""Foudre"",'Recenseme"&amp;"nt DPS'!O23),REGEXREPLACE(SWITCH($B$13,""Feu"",'Recensement DPS'!C23,""Glace"",'Recensement DPS'!E23,""Vent"",'Recensement DPS'!G23,""Terre"",'Recensement DPS'!I23,""Lumière"",'Recensement DPS'!K23,""Ténèbres"",'Recensement DPS'!M23,""Foudre"",'Recensemen"&amp;"t DPS'!O23),""(?i)(P[0-9]+)\s+"",""$1 / "")),"" / "",FALSE,TRUE),1,4),"""")"),"")</f>
        <v/>
      </c>
      <c r="R113" s="24" t="str">
        <f>IFERROR(__xludf.DUMMYFUNCTION("IF(Q113="""","""",IFERROR(VALUE(REGEXEXTRACT(Q113,""(?i)P\s*([0-9]+)"")),""""))"),"")</f>
        <v/>
      </c>
    </row>
    <row r="114" ht="15.75" customHeight="1">
      <c r="A114" s="17" t="str">
        <f t="shared" si="1"/>
        <v/>
      </c>
      <c r="B114" s="23"/>
      <c r="C114" s="23"/>
      <c r="D114" s="23"/>
      <c r="P114" s="24" t="str">
        <f>'Recensement DPS'!A23</f>
        <v>Syval</v>
      </c>
      <c r="Q114" s="24" t="str">
        <f>IFERROR(__xludf.DUMMYFUNCTION("IFERROR(INDEX(SPLIT(IF(REGEXMATCH(SWITCH($B$13,""Feu"",'Recensement DPS'!C23,""Glace"",'Recensement DPS'!E23,""Vent"",'Recensement DPS'!G23,""Terre"",'Recensement DPS'!I23,""Lumière"",'Recensement DPS'!K23,""Ténèbres"",'Recensement DPS'!M23,""Foudre"",'Re"&amp;"censement DPS'!O23),""/""),SWITCH($B$13,""Feu"",'Recensement DPS'!C23,""Glace"",'Recensement DPS'!E23,""Vent"",'Recensement DPS'!G23,""Terre"",'Recensement DPS'!I23,""Lumière"",'Recensement DPS'!K23,""Ténèbres"",'Recensement DPS'!M23,""Foudre"",'Recenseme"&amp;"nt DPS'!O23),REGEXREPLACE(SWITCH($B$13,""Feu"",'Recensement DPS'!C23,""Glace"",'Recensement DPS'!E23,""Vent"",'Recensement DPS'!G23,""Terre"",'Recensement DPS'!I23,""Lumière"",'Recensement DPS'!K23,""Ténèbres"",'Recensement DPS'!M23,""Foudre"",'Recensemen"&amp;"t DPS'!O23),""(?i)(P[0-9]+)\s+"",""$1 / "")),"" / "",FALSE,TRUE),1,5),"""")"),"")</f>
        <v/>
      </c>
      <c r="R114" s="24" t="str">
        <f>IFERROR(__xludf.DUMMYFUNCTION("IF(Q114="""","""",IFERROR(VALUE(REGEXEXTRACT(Q114,""(?i)P\s*([0-9]+)"")),""""))"),"")</f>
        <v/>
      </c>
    </row>
    <row r="115" ht="15.75" customHeight="1">
      <c r="A115" s="14" t="str">
        <f t="shared" si="1"/>
        <v/>
      </c>
      <c r="B115" s="23"/>
      <c r="C115" s="23"/>
      <c r="D115" s="23"/>
      <c r="P115" s="24" t="str">
        <f>'Recensement DPS'!A24</f>
        <v>TheFue</v>
      </c>
      <c r="Q115" s="24" t="str">
        <f>IFERROR(__xludf.DUMMYFUNCTION("IFERROR(INDEX(SPLIT(IF(REGEXMATCH(SWITCH($B$13,""Feu"",'Recensement DPS'!C24,""Glace"",'Recensement DPS'!E24,""Vent"",'Recensement DPS'!G24,""Terre"",'Recensement DPS'!I24,""Lumière"",'Recensement DPS'!K24,""Ténèbres"",'Recensement DPS'!M24,""Foudre"",'Re"&amp;"censement DPS'!O24),""/""),SWITCH($B$13,""Feu"",'Recensement DPS'!C24,""Glace"",'Recensement DPS'!E24,""Vent"",'Recensement DPS'!G24,""Terre"",'Recensement DPS'!I24,""Lumière"",'Recensement DPS'!K24,""Ténèbres"",'Recensement DPS'!M24,""Foudre"",'Recenseme"&amp;"nt DPS'!O24),REGEXREPLACE(SWITCH($B$13,""Feu"",'Recensement DPS'!C24,""Glace"",'Recensement DPS'!E24,""Vent"",'Recensement DPS'!G24,""Terre"",'Recensement DPS'!I24,""Lumière"",'Recensement DPS'!K24,""Ténèbres"",'Recensement DPS'!M24,""Foudre"",'Recensemen"&amp;"t DPS'!O24),""(?i)(P[0-9]+)\s+"",""$1 / "")),"" / "",FALSE,TRUE),1,1),"""")"),"")</f>
        <v/>
      </c>
      <c r="R115" s="24" t="str">
        <f>IFERROR(__xludf.DUMMYFUNCTION("IF(Q115="""","""",IFERROR(VALUE(REGEXEXTRACT(Q115,""(?i)P\s*([0-9]+)"")),""""))"),"")</f>
        <v/>
      </c>
    </row>
    <row r="116" ht="15.75" customHeight="1">
      <c r="A116" s="17" t="str">
        <f t="shared" si="1"/>
        <v/>
      </c>
      <c r="B116" s="23"/>
      <c r="C116" s="23"/>
      <c r="D116" s="23"/>
      <c r="P116" s="24" t="str">
        <f>'Recensement DPS'!A24</f>
        <v>TheFue</v>
      </c>
      <c r="Q116" s="24" t="str">
        <f>IFERROR(__xludf.DUMMYFUNCTION("IFERROR(INDEX(SPLIT(IF(REGEXMATCH(SWITCH($B$13,""Feu"",'Recensement DPS'!C24,""Glace"",'Recensement DPS'!E24,""Vent"",'Recensement DPS'!G24,""Terre"",'Recensement DPS'!I24,""Lumière"",'Recensement DPS'!K24,""Ténèbres"",'Recensement DPS'!M24,""Foudre"",'Re"&amp;"censement DPS'!O24),""/""),SWITCH($B$13,""Feu"",'Recensement DPS'!C24,""Glace"",'Recensement DPS'!E24,""Vent"",'Recensement DPS'!G24,""Terre"",'Recensement DPS'!I24,""Lumière"",'Recensement DPS'!K24,""Ténèbres"",'Recensement DPS'!M24,""Foudre"",'Recenseme"&amp;"nt DPS'!O24),REGEXREPLACE(SWITCH($B$13,""Feu"",'Recensement DPS'!C24,""Glace"",'Recensement DPS'!E24,""Vent"",'Recensement DPS'!G24,""Terre"",'Recensement DPS'!I24,""Lumière"",'Recensement DPS'!K24,""Ténèbres"",'Recensement DPS'!M24,""Foudre"",'Recensemen"&amp;"t DPS'!O24),""(?i)(P[0-9]+)\s+"",""$1 / "")),"" / "",FALSE,TRUE),1,2),"""")"),"")</f>
        <v/>
      </c>
      <c r="R116" s="24" t="str">
        <f>IFERROR(__xludf.DUMMYFUNCTION("IF(Q116="""","""",IFERROR(VALUE(REGEXEXTRACT(Q116,""(?i)P\s*([0-9]+)"")),""""))"),"")</f>
        <v/>
      </c>
    </row>
    <row r="117" ht="15.75" customHeight="1">
      <c r="A117" s="14" t="str">
        <f t="shared" si="1"/>
        <v/>
      </c>
      <c r="B117" s="23"/>
      <c r="C117" s="23"/>
      <c r="D117" s="23"/>
      <c r="P117" s="24" t="str">
        <f>'Recensement DPS'!A24</f>
        <v>TheFue</v>
      </c>
      <c r="Q117" s="24" t="str">
        <f>IFERROR(__xludf.DUMMYFUNCTION("IFERROR(INDEX(SPLIT(IF(REGEXMATCH(SWITCH($B$13,""Feu"",'Recensement DPS'!C24,""Glace"",'Recensement DPS'!E24,""Vent"",'Recensement DPS'!G24,""Terre"",'Recensement DPS'!I24,""Lumière"",'Recensement DPS'!K24,""Ténèbres"",'Recensement DPS'!M24,""Foudre"",'Re"&amp;"censement DPS'!O24),""/""),SWITCH($B$13,""Feu"",'Recensement DPS'!C24,""Glace"",'Recensement DPS'!E24,""Vent"",'Recensement DPS'!G24,""Terre"",'Recensement DPS'!I24,""Lumière"",'Recensement DPS'!K24,""Ténèbres"",'Recensement DPS'!M24,""Foudre"",'Recenseme"&amp;"nt DPS'!O24),REGEXREPLACE(SWITCH($B$13,""Feu"",'Recensement DPS'!C24,""Glace"",'Recensement DPS'!E24,""Vent"",'Recensement DPS'!G24,""Terre"",'Recensement DPS'!I24,""Lumière"",'Recensement DPS'!K24,""Ténèbres"",'Recensement DPS'!M24,""Foudre"",'Recensemen"&amp;"t DPS'!O24),""(?i)(P[0-9]+)\s+"",""$1 / "")),"" / "",FALSE,TRUE),1,3),"""")"),"")</f>
        <v/>
      </c>
      <c r="R117" s="24" t="str">
        <f>IFERROR(__xludf.DUMMYFUNCTION("IF(Q117="""","""",IFERROR(VALUE(REGEXEXTRACT(Q117,""(?i)P\s*([0-9]+)"")),""""))"),"")</f>
        <v/>
      </c>
    </row>
    <row r="118" ht="15.75" customHeight="1">
      <c r="A118" s="17" t="str">
        <f t="shared" si="1"/>
        <v/>
      </c>
      <c r="B118" s="23"/>
      <c r="C118" s="23"/>
      <c r="D118" s="23"/>
      <c r="P118" s="24" t="str">
        <f>'Recensement DPS'!A24</f>
        <v>TheFue</v>
      </c>
      <c r="Q118" s="24" t="str">
        <f>IFERROR(__xludf.DUMMYFUNCTION("IFERROR(INDEX(SPLIT(IF(REGEXMATCH(SWITCH($B$13,""Feu"",'Recensement DPS'!C24,""Glace"",'Recensement DPS'!E24,""Vent"",'Recensement DPS'!G24,""Terre"",'Recensement DPS'!I24,""Lumière"",'Recensement DPS'!K24,""Ténèbres"",'Recensement DPS'!M24,""Foudre"",'Re"&amp;"censement DPS'!O24),""/""),SWITCH($B$13,""Feu"",'Recensement DPS'!C24,""Glace"",'Recensement DPS'!E24,""Vent"",'Recensement DPS'!G24,""Terre"",'Recensement DPS'!I24,""Lumière"",'Recensement DPS'!K24,""Ténèbres"",'Recensement DPS'!M24,""Foudre"",'Recenseme"&amp;"nt DPS'!O24),REGEXREPLACE(SWITCH($B$13,""Feu"",'Recensement DPS'!C24,""Glace"",'Recensement DPS'!E24,""Vent"",'Recensement DPS'!G24,""Terre"",'Recensement DPS'!I24,""Lumière"",'Recensement DPS'!K24,""Ténèbres"",'Recensement DPS'!M24,""Foudre"",'Recensemen"&amp;"t DPS'!O24),""(?i)(P[0-9]+)\s+"",""$1 / "")),"" / "",FALSE,TRUE),1,4),"""")"),"")</f>
        <v/>
      </c>
      <c r="R118" s="24" t="str">
        <f>IFERROR(__xludf.DUMMYFUNCTION("IF(Q118="""","""",IFERROR(VALUE(REGEXEXTRACT(Q118,""(?i)P\s*([0-9]+)"")),""""))"),"")</f>
        <v/>
      </c>
    </row>
    <row r="119" ht="15.75" customHeight="1">
      <c r="A119" s="14" t="str">
        <f t="shared" si="1"/>
        <v/>
      </c>
      <c r="B119" s="23"/>
      <c r="C119" s="23"/>
      <c r="D119" s="23"/>
      <c r="P119" s="24" t="str">
        <f>'Recensement DPS'!A24</f>
        <v>TheFue</v>
      </c>
      <c r="Q119" s="24" t="str">
        <f>IFERROR(__xludf.DUMMYFUNCTION("IFERROR(INDEX(SPLIT(IF(REGEXMATCH(SWITCH($B$13,""Feu"",'Recensement DPS'!C24,""Glace"",'Recensement DPS'!E24,""Vent"",'Recensement DPS'!G24,""Terre"",'Recensement DPS'!I24,""Lumière"",'Recensement DPS'!K24,""Ténèbres"",'Recensement DPS'!M24,""Foudre"",'Re"&amp;"censement DPS'!O24),""/""),SWITCH($B$13,""Feu"",'Recensement DPS'!C24,""Glace"",'Recensement DPS'!E24,""Vent"",'Recensement DPS'!G24,""Terre"",'Recensement DPS'!I24,""Lumière"",'Recensement DPS'!K24,""Ténèbres"",'Recensement DPS'!M24,""Foudre"",'Recenseme"&amp;"nt DPS'!O24),REGEXREPLACE(SWITCH($B$13,""Feu"",'Recensement DPS'!C24,""Glace"",'Recensement DPS'!E24,""Vent"",'Recensement DPS'!G24,""Terre"",'Recensement DPS'!I24,""Lumière"",'Recensement DPS'!K24,""Ténèbres"",'Recensement DPS'!M24,""Foudre"",'Recensemen"&amp;"t DPS'!O24),""(?i)(P[0-9]+)\s+"",""$1 / "")),"" / "",FALSE,TRUE),1,5),"""")"),"")</f>
        <v/>
      </c>
      <c r="R119" s="24" t="str">
        <f>IFERROR(__xludf.DUMMYFUNCTION("IF(Q119="""","""",IFERROR(VALUE(REGEXEXTRACT(Q119,""(?i)P\s*([0-9]+)"")),""""))"),"")</f>
        <v/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howErrorMessage="1" sqref="B13">
      <formula1>"Feu,Glace,Vent,Terre,Lumière,Ténèbres,Foudre"</formula1>
    </dataValidation>
  </dataValidations>
  <printOptions/>
  <pageMargins bottom="0.75" footer="0.0" header="0.0" left="0.7" right="0.7" top="0.75"/>
  <pageSetup orientation="landscape"/>
  <drawing r:id="rId1"/>
</worksheet>
</file>